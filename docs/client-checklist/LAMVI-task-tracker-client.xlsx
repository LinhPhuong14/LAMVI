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ask tracker" sheetId="2" state="visible" r:id="rId2"/>
  </sheets>
  <definedNames>
    <definedName name="_xlnm._FilterDatabase" localSheetId="1" hidden="1">'Task tracker'!$A$1:$L$98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8C2A1C"/>
      <sz val="16"/>
    </font>
    <font>
      <i val="1"/>
      <color rgb="00777777"/>
    </font>
    <font>
      <b val="1"/>
    </font>
  </fonts>
  <fills count="5">
    <fill>
      <patternFill/>
    </fill>
    <fill>
      <patternFill patternType="gray125"/>
    </fill>
    <fill>
      <patternFill patternType="solid">
        <fgColor rgb="008C2A1C"/>
      </patternFill>
    </fill>
    <fill>
      <patternFill patternType="solid">
        <fgColor rgb="00F2F2F2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9C9B0"/>
      </left>
      <right style="thin">
        <color rgb="00D9C9B0"/>
      </right>
      <top style="thin">
        <color rgb="00D9C9B0"/>
      </top>
      <bottom style="thin">
        <color rgb="00D9C9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F8CBAD"/>
          <bgColor rgb="00F8CBAD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LAMVI — Tiến độ việc của client</t>
        </is>
      </c>
    </row>
    <row r="2">
      <c r="A2" s="2" t="inlineStr">
        <is>
          <t>Tự cập nhật theo cột "Trạng thái" ở tab Task tracker.</t>
        </is>
      </c>
    </row>
    <row r="4">
      <c r="A4" s="3" t="inlineStr">
        <is>
          <t>Tổng số việc</t>
        </is>
      </c>
      <c r="B4">
        <f>COUNTA('Task tracker'!A2:A98)</f>
        <v/>
      </c>
    </row>
    <row r="5">
      <c r="A5" s="3" t="inlineStr">
        <is>
          <t>Đã xong</t>
        </is>
      </c>
      <c r="B5">
        <f>COUNTIF('Task tracker'!G2:G98,"Xong")</f>
        <v/>
      </c>
    </row>
    <row r="6">
      <c r="A6" s="3" t="inlineStr">
        <is>
          <t>Tỉ lệ hoàn thành</t>
        </is>
      </c>
      <c r="B6" s="4">
        <f>IF(B4=0,0,B5/B4)</f>
        <v/>
      </c>
    </row>
    <row r="7">
      <c r="A7" s="3" t="inlineStr">
        <is>
          <t>Việc chặn go-live còn lại</t>
        </is>
      </c>
      <c r="B7">
        <f>COUNTIFS('Task tracker'!E2:E98,"🔴 Chặn go-live",'Task tracker'!G2:G98,"&lt;&gt;Xong")</f>
        <v/>
      </c>
    </row>
    <row r="8">
      <c r="A8" s="3" t="inlineStr">
        <is>
          <t>Quá hạn (chưa xong)</t>
        </is>
      </c>
      <c r="B8">
        <f>SUMPRODUCT(('Task tracker'!I2:I98&lt;&gt;"")*('Task tracker'!I2:I98&lt;TODAY())*('Task tracker'!G2:G98&lt;&gt;"Xong"))</f>
        <v/>
      </c>
    </row>
    <row r="10">
      <c r="A10" s="5" t="inlineStr">
        <is>
          <t>Theo trạng thái</t>
        </is>
      </c>
      <c r="B10" s="6" t="n"/>
    </row>
    <row r="11">
      <c r="A11" t="inlineStr">
        <is>
          <t>Chưa bắt đầu</t>
        </is>
      </c>
      <c r="B11">
        <f>COUNTIF('Task tracker'!G2:G98,A11)</f>
        <v/>
      </c>
    </row>
    <row r="12">
      <c r="A12" t="inlineStr">
        <is>
          <t>Đang làm</t>
        </is>
      </c>
      <c r="B12">
        <f>COUNTIF('Task tracker'!G2:G98,A12)</f>
        <v/>
      </c>
    </row>
    <row r="13">
      <c r="A13" t="inlineStr">
        <is>
          <t>Chờ duyệt</t>
        </is>
      </c>
      <c r="B13">
        <f>COUNTIF('Task tracker'!G2:G98,A13)</f>
        <v/>
      </c>
    </row>
    <row r="14">
      <c r="A14" t="inlineStr">
        <is>
          <t>Bị chặn</t>
        </is>
      </c>
      <c r="B14">
        <f>COUNTIF('Task tracker'!G2:G98,A14)</f>
        <v/>
      </c>
    </row>
    <row r="15">
      <c r="A15" t="inlineStr">
        <is>
          <t>Xong</t>
        </is>
      </c>
      <c r="B15">
        <f>COUNTIF('Task tracker'!G2:G98,A15)</f>
        <v/>
      </c>
    </row>
    <row r="17">
      <c r="A17" s="5" t="inlineStr">
        <is>
          <t>Theo ưu tiên</t>
        </is>
      </c>
      <c r="B17" s="5" t="inlineStr">
        <is>
          <t>Tổng</t>
        </is>
      </c>
      <c r="C17" s="5" t="inlineStr">
        <is>
          <t>Xong</t>
        </is>
      </c>
    </row>
    <row r="18">
      <c r="A18" t="inlineStr">
        <is>
          <t>🔴 Chặn go-live</t>
        </is>
      </c>
      <c r="B18">
        <f>COUNTIF('Task tracker'!E2:E98,A18)</f>
        <v/>
      </c>
      <c r="C18">
        <f>COUNTIFS('Task tracker'!E2:E98,A18,'Task tracker'!G2:G98,"Xong")</f>
        <v/>
      </c>
    </row>
    <row r="19">
      <c r="A19" t="inlineStr">
        <is>
          <t>🟠 Trước khi mở bán</t>
        </is>
      </c>
      <c r="B19">
        <f>COUNTIF('Task tracker'!E2:E98,A19)</f>
        <v/>
      </c>
      <c r="C19">
        <f>COUNTIFS('Task tracker'!E2:E98,A19,'Task tracker'!G2:G98,"Xong")</f>
        <v/>
      </c>
    </row>
    <row r="20">
      <c r="A20" t="inlineStr">
        <is>
          <t>🟡 Làm sau được</t>
        </is>
      </c>
      <c r="B20">
        <f>COUNTIF('Task tracker'!E2:E98,A20)</f>
        <v/>
      </c>
      <c r="C20">
        <f>COUNTIFS('Task tracker'!E2:E98,A20,'Task tracker'!G2:G98,"Xong")</f>
        <v/>
      </c>
    </row>
    <row r="23">
      <c r="A23" s="5" t="inlineStr">
        <is>
          <t>Theo nhóm</t>
        </is>
      </c>
      <c r="B23" s="5" t="inlineStr">
        <is>
          <t>Tổng</t>
        </is>
      </c>
      <c r="C23" s="5" t="inlineStr">
        <is>
          <t>Xong</t>
        </is>
      </c>
      <c r="D23" s="5" t="inlineStr">
        <is>
          <t>Còn lại</t>
        </is>
      </c>
    </row>
    <row r="24">
      <c r="A24" t="inlineStr">
        <is>
          <t>Thương hiệu</t>
        </is>
      </c>
      <c r="B24">
        <f>COUNTIF('Task tracker'!B2:B98,A24)</f>
        <v/>
      </c>
      <c r="C24">
        <f>COUNTIFS('Task tracker'!B2:B98,A24,'Task tracker'!G2:G98,"Xong")</f>
        <v/>
      </c>
      <c r="D24">
        <f>B24-C24</f>
        <v/>
      </c>
    </row>
    <row r="25">
      <c r="A25" t="inlineStr">
        <is>
          <t>Sản phẩm</t>
        </is>
      </c>
      <c r="B25">
        <f>COUNTIF('Task tracker'!B2:B98,A25)</f>
        <v/>
      </c>
      <c r="C25">
        <f>COUNTIFS('Task tracker'!B2:B98,A25,'Task tracker'!G2:G98,"Xong")</f>
        <v/>
      </c>
      <c r="D25">
        <f>B25-C25</f>
        <v/>
      </c>
    </row>
    <row r="26">
      <c r="A26" t="inlineStr">
        <is>
          <t>Bộ sưu tập</t>
        </is>
      </c>
      <c r="B26">
        <f>COUNTIF('Task tracker'!B2:B98,A26)</f>
        <v/>
      </c>
      <c r="C26">
        <f>COUNTIFS('Task tracker'!B2:B98,A26,'Task tracker'!G2:G98,"Xong")</f>
        <v/>
      </c>
      <c r="D26">
        <f>B26-C26</f>
        <v/>
      </c>
    </row>
    <row r="27">
      <c r="A27" t="inlineStr">
        <is>
          <t>Trang chủ</t>
        </is>
      </c>
      <c r="B27">
        <f>COUNTIF('Task tracker'!B2:B98,A27)</f>
        <v/>
      </c>
      <c r="C27">
        <f>COUNTIFS('Task tracker'!B2:B98,A27,'Task tracker'!G2:G98,"Xong")</f>
        <v/>
      </c>
      <c r="D27">
        <f>B27-C27</f>
        <v/>
      </c>
    </row>
    <row r="28">
      <c r="A28" t="inlineStr">
        <is>
          <t>Các trang khác</t>
        </is>
      </c>
      <c r="B28">
        <f>COUNTIF('Task tracker'!B2:B98,A28)</f>
        <v/>
      </c>
      <c r="C28">
        <f>COUNTIFS('Task tracker'!B2:B98,A28,'Task tracker'!G2:G98,"Xong")</f>
        <v/>
      </c>
      <c r="D28">
        <f>B28-C28</f>
        <v/>
      </c>
    </row>
    <row r="29">
      <c r="A29" t="inlineStr">
        <is>
          <t>Mây (AI)</t>
        </is>
      </c>
      <c r="B29">
        <f>COUNTIF('Task tracker'!B2:B98,A29)</f>
        <v/>
      </c>
      <c r="C29">
        <f>COUNTIFS('Task tracker'!B2:B98,A29,'Task tracker'!G2:G98,"Xong")</f>
        <v/>
      </c>
      <c r="D29">
        <f>B29-C29</f>
        <v/>
      </c>
    </row>
    <row r="30">
      <c r="A30" t="inlineStr">
        <is>
          <t>Lô đèn &amp; QR</t>
        </is>
      </c>
      <c r="B30">
        <f>COUNTIF('Task tracker'!B2:B98,A30)</f>
        <v/>
      </c>
      <c r="C30">
        <f>COUNTIFS('Task tracker'!B2:B98,A30,'Task tracker'!G2:G98,"Xong")</f>
        <v/>
      </c>
      <c r="D30">
        <f>B30-C30</f>
        <v/>
      </c>
    </row>
    <row r="31">
      <c r="A31" t="inlineStr">
        <is>
          <t>Doanh nghiệp &amp; pháp lý</t>
        </is>
      </c>
      <c r="B31">
        <f>COUNTIF('Task tracker'!B2:B98,A31)</f>
        <v/>
      </c>
      <c r="C31">
        <f>COUNTIFS('Task tracker'!B2:B98,A31,'Task tracker'!G2:G98,"Xong")</f>
        <v/>
      </c>
      <c r="D31">
        <f>B31-C31</f>
        <v/>
      </c>
    </row>
    <row r="32">
      <c r="A32" t="inlineStr">
        <is>
          <t>Vận hành bán hàng</t>
        </is>
      </c>
      <c r="B32">
        <f>COUNTIF('Task tracker'!B2:B98,A32)</f>
        <v/>
      </c>
      <c r="C32">
        <f>COUNTIFS('Task tracker'!B2:B98,A32,'Task tracker'!G2:G98,"Xong")</f>
        <v/>
      </c>
      <c r="D32">
        <f>B32-C32</f>
        <v/>
      </c>
    </row>
    <row r="33">
      <c r="A33" t="inlineStr">
        <is>
          <t>Email</t>
        </is>
      </c>
      <c r="B33">
        <f>COUNTIF('Task tracker'!B2:B98,A33)</f>
        <v/>
      </c>
      <c r="C33">
        <f>COUNTIFS('Task tracker'!B2:B98,A33,'Task tracker'!G2:G98,"Xong")</f>
        <v/>
      </c>
      <c r="D33">
        <f>B33-C33</f>
        <v/>
      </c>
    </row>
    <row r="34">
      <c r="A34" t="inlineStr">
        <is>
          <t>Tài khoản dịch vụ</t>
        </is>
      </c>
      <c r="B34">
        <f>COUNTIF('Task tracker'!B2:B98,A34)</f>
        <v/>
      </c>
      <c r="C34">
        <f>COUNTIFS('Task tracker'!B2:B98,A34,'Task tracker'!G2:G98,"Xong")</f>
        <v/>
      </c>
      <c r="D34">
        <f>B34-C34</f>
        <v/>
      </c>
    </row>
    <row r="35">
      <c r="A35" t="inlineStr">
        <is>
          <t>Dịch thuật</t>
        </is>
      </c>
      <c r="B35">
        <f>COUNTIF('Task tracker'!B2:B98,A35)</f>
        <v/>
      </c>
      <c r="C35">
        <f>COUNTIFS('Task tracker'!B2:B98,A35,'Task tracker'!G2:G98,"Xong")</f>
        <v/>
      </c>
      <c r="D35">
        <f>B35-C35</f>
        <v/>
      </c>
    </row>
    <row r="36">
      <c r="A36" t="inlineStr">
        <is>
          <t>Quyết định nghiệp vụ</t>
        </is>
      </c>
      <c r="B36">
        <f>COUNTIF('Task tracker'!B2:B98,A36)</f>
        <v/>
      </c>
      <c r="C36">
        <f>COUNTIFS('Task tracker'!B2:B98,A36,'Task tracker'!G2:G98,"Xong")</f>
        <v/>
      </c>
      <c r="D36">
        <f>B36-C36</f>
        <v/>
      </c>
    </row>
    <row r="37">
      <c r="A37" t="inlineStr">
        <is>
          <t>Admin &amp; vận hành</t>
        </is>
      </c>
      <c r="B37">
        <f>COUNTIF('Task tracker'!B2:B98,A37)</f>
        <v/>
      </c>
      <c r="C37">
        <f>COUNTIFS('Task tracker'!B2:B98,A37,'Task tracker'!G2:G98,"Xong")</f>
        <v/>
      </c>
      <c r="D37">
        <f>B37-C37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50" customWidth="1" min="4" max="4"/>
    <col width="20" customWidth="1" min="5" max="5"/>
    <col width="10" customWidth="1" min="6" max="6"/>
    <col width="15" customWidth="1" min="7" max="7"/>
    <col width="22" customWidth="1" min="8" max="8"/>
    <col width="14" customWidth="1" min="9" max="9"/>
    <col width="13" customWidth="1" min="10" max="10"/>
    <col width="32" customWidth="1" min="11" max="11"/>
    <col width="36" customWidth="1" min="12" max="12"/>
  </cols>
  <sheetData>
    <row r="1" ht="30" customHeight="1">
      <c r="A1" s="7" t="inlineStr">
        <is>
          <t>Mã</t>
        </is>
      </c>
      <c r="B1" s="7" t="inlineStr">
        <is>
          <t>Nhóm</t>
        </is>
      </c>
      <c r="C1" s="7" t="inlineStr">
        <is>
          <t>Việc cần làm</t>
        </is>
      </c>
      <c r="D1" s="7" t="inlineStr">
        <is>
          <t>Chi tiết / cần gửi gì</t>
        </is>
      </c>
      <c r="E1" s="7" t="inlineStr">
        <is>
          <t>Ưu tiên</t>
        </is>
      </c>
      <c r="F1" s="7" t="inlineStr">
        <is>
          <t>Tham chiếu</t>
        </is>
      </c>
      <c r="G1" s="7" t="inlineStr">
        <is>
          <t>Trạng thái</t>
        </is>
      </c>
      <c r="H1" s="7" t="inlineStr">
        <is>
          <t>Người phụ trách (client)</t>
        </is>
      </c>
      <c r="I1" s="7" t="inlineStr">
        <is>
          <t>Hạn (client điền)</t>
        </is>
      </c>
      <c r="J1" s="7" t="inlineStr">
        <is>
          <t>Ngày xong</t>
        </is>
      </c>
      <c r="K1" s="7" t="inlineStr">
        <is>
          <t>File / link đã gửi</t>
        </is>
      </c>
      <c r="L1" s="7" t="inlineStr">
        <is>
          <t>Ghi chú</t>
        </is>
      </c>
    </row>
    <row r="2">
      <c r="A2" s="8" t="inlineStr">
        <is>
          <t>1.1</t>
        </is>
      </c>
      <c r="B2" s="8" t="inlineStr">
        <is>
          <t>Thương hiệu</t>
        </is>
      </c>
      <c r="C2" s="8" t="inlineStr">
        <is>
          <t>Gửi bộ logo chính thức</t>
        </is>
      </c>
      <c r="D2" s="8" t="inlineStr">
        <is>
          <t>SVG + PNG nền trong; bản ngang/dọc/một màu (trắng, đen). Hiện chỉ là chữ triện dev vẽ tạm</t>
        </is>
      </c>
      <c r="E2" s="8" t="inlineStr">
        <is>
          <t>🔴 Chặn go-live</t>
        </is>
      </c>
      <c r="F2" s="8" t="inlineStr">
        <is>
          <t>§1</t>
        </is>
      </c>
      <c r="G2" s="9" t="inlineStr">
        <is>
          <t>Chưa bắt đầu</t>
        </is>
      </c>
      <c r="H2" s="9" t="n"/>
      <c r="I2" s="10" t="n"/>
      <c r="J2" s="10" t="n"/>
      <c r="K2" s="9" t="n"/>
      <c r="L2" s="9" t="n"/>
    </row>
    <row r="3">
      <c r="A3" s="8" t="inlineStr">
        <is>
          <t>1.2</t>
        </is>
      </c>
      <c r="B3" s="8" t="inlineStr">
        <is>
          <t>Thương hiệu</t>
        </is>
      </c>
      <c r="C3" s="8" t="inlineStr">
        <is>
          <t>Gửi favicon / icon tab</t>
        </is>
      </c>
      <c r="D3" s="8" t="inlineStr">
        <is>
          <t>32×32, 180×180 (iOS), 512×512. Hiện đang là logo mặc định của Vite</t>
        </is>
      </c>
      <c r="E3" s="8" t="inlineStr">
        <is>
          <t>🔴 Chặn go-live</t>
        </is>
      </c>
      <c r="F3" s="8" t="inlineStr">
        <is>
          <t>§1</t>
        </is>
      </c>
      <c r="G3" s="9" t="inlineStr">
        <is>
          <t>Chưa bắt đầu</t>
        </is>
      </c>
      <c r="H3" s="9" t="n"/>
      <c r="I3" s="10" t="n"/>
      <c r="J3" s="10" t="n"/>
      <c r="K3" s="9" t="n"/>
      <c r="L3" s="9" t="n"/>
    </row>
    <row r="4">
      <c r="A4" s="8" t="inlineStr">
        <is>
          <t>1.3</t>
        </is>
      </c>
      <c r="B4" s="8" t="inlineStr">
        <is>
          <t>Thương hiệu</t>
        </is>
      </c>
      <c r="C4" s="8" t="inlineStr">
        <is>
          <t>Xác nhận brand guideline</t>
        </is>
      </c>
      <c r="D4" s="8" t="inlineStr">
        <is>
          <t>Bảng màu, quy tắc dùng logo — đối chiếu docs/BRAND_GUIDELINE.md</t>
        </is>
      </c>
      <c r="E4" s="8" t="inlineStr">
        <is>
          <t>🟠 Trước khi mở bán</t>
        </is>
      </c>
      <c r="F4" s="8" t="inlineStr">
        <is>
          <t>§1</t>
        </is>
      </c>
      <c r="G4" s="9" t="inlineStr">
        <is>
          <t>Chưa bắt đầu</t>
        </is>
      </c>
      <c r="H4" s="9" t="n"/>
      <c r="I4" s="10" t="n"/>
      <c r="J4" s="10" t="n"/>
      <c r="K4" s="9" t="n"/>
      <c r="L4" s="9" t="n"/>
    </row>
    <row r="5">
      <c r="A5" s="8" t="inlineStr">
        <is>
          <t>1.4</t>
        </is>
      </c>
      <c r="B5" s="8" t="inlineStr">
        <is>
          <t>Thương hiệu</t>
        </is>
      </c>
      <c r="C5" s="8" t="inlineStr">
        <is>
          <t>Xác nhận / gửi font chữ</t>
        </is>
      </c>
      <c r="D5" s="8" t="inlineStr">
        <is>
          <t>Fraunces + Be Vietnam Pro hoặc font bản quyền khác (kèm giấy phép web)</t>
        </is>
      </c>
      <c r="E5" s="8" t="inlineStr">
        <is>
          <t>🟡 Làm sau được</t>
        </is>
      </c>
      <c r="F5" s="8" t="inlineStr">
        <is>
          <t>§1</t>
        </is>
      </c>
      <c r="G5" s="9" t="inlineStr">
        <is>
          <t>Chưa bắt đầu</t>
        </is>
      </c>
      <c r="H5" s="9" t="n"/>
      <c r="I5" s="10" t="n"/>
      <c r="J5" s="10" t="n"/>
      <c r="K5" s="9" t="n"/>
      <c r="L5" s="9" t="n"/>
    </row>
    <row r="6">
      <c r="A6" s="8" t="inlineStr">
        <is>
          <t>1.5</t>
        </is>
      </c>
      <c r="B6" s="8" t="inlineStr">
        <is>
          <t>Thương hiệu</t>
        </is>
      </c>
      <c r="C6" s="8" t="inlineStr">
        <is>
          <t>Chốt tagline &amp; thông điệp chính thức (VI/EN/ZH)</t>
        </is>
      </c>
      <c r="D6" s="8" t="inlineStr"/>
      <c r="E6" s="8" t="inlineStr">
        <is>
          <t>🟠 Trước khi mở bán</t>
        </is>
      </c>
      <c r="F6" s="8" t="inlineStr">
        <is>
          <t>§1</t>
        </is>
      </c>
      <c r="G6" s="9" t="inlineStr">
        <is>
          <t>Chưa bắt đầu</t>
        </is>
      </c>
      <c r="H6" s="9" t="n"/>
      <c r="I6" s="10" t="n"/>
      <c r="J6" s="10" t="n"/>
      <c r="K6" s="9" t="n"/>
      <c r="L6" s="9" t="n"/>
    </row>
    <row r="7">
      <c r="A7" s="8" t="inlineStr">
        <is>
          <t>1.6</t>
        </is>
      </c>
      <c r="B7" s="8" t="inlineStr">
        <is>
          <t>Thương hiệu</t>
        </is>
      </c>
      <c r="C7" s="8" t="inlineStr">
        <is>
          <t>Gửi ảnh chia sẻ MXH (og:image) 1200×630</t>
        </is>
      </c>
      <c r="D7" s="8" t="inlineStr"/>
      <c r="E7" s="8" t="inlineStr">
        <is>
          <t>🟠 Trước khi mở bán</t>
        </is>
      </c>
      <c r="F7" s="8" t="inlineStr">
        <is>
          <t>§1</t>
        </is>
      </c>
      <c r="G7" s="9" t="inlineStr">
        <is>
          <t>Chưa bắt đầu</t>
        </is>
      </c>
      <c r="H7" s="9" t="n"/>
      <c r="I7" s="10" t="n"/>
      <c r="J7" s="10" t="n"/>
      <c r="K7" s="9" t="n"/>
      <c r="L7" s="9" t="n"/>
    </row>
    <row r="8">
      <c r="A8" s="8" t="inlineStr">
        <is>
          <t>1.7</t>
        </is>
      </c>
      <c r="B8" s="8" t="inlineStr">
        <is>
          <t>Thương hiệu</t>
        </is>
      </c>
      <c r="C8" s="8" t="inlineStr">
        <is>
          <t>Gửi banner email (~1200×300)</t>
        </is>
      </c>
      <c r="D8" s="8" t="inlineStr"/>
      <c r="E8" s="8" t="inlineStr">
        <is>
          <t>🟡 Làm sau được</t>
        </is>
      </c>
      <c r="F8" s="8" t="inlineStr">
        <is>
          <t>§1</t>
        </is>
      </c>
      <c r="G8" s="9" t="inlineStr">
        <is>
          <t>Chưa bắt đầu</t>
        </is>
      </c>
      <c r="H8" s="9" t="n"/>
      <c r="I8" s="10" t="n"/>
      <c r="J8" s="10" t="n"/>
      <c r="K8" s="9" t="n"/>
      <c r="L8" s="9" t="n"/>
    </row>
    <row r="9">
      <c r="A9" s="8" t="inlineStr">
        <is>
          <t>1.8</t>
        </is>
      </c>
      <c r="B9" s="8" t="inlineStr">
        <is>
          <t>Thương hiệu</t>
        </is>
      </c>
      <c r="C9" s="8" t="inlineStr">
        <is>
          <t>Xác nhận / gửi thiết kế mascot Mây</t>
        </is>
      </c>
      <c r="D9" s="8" t="inlineStr">
        <is>
          <t>SVG, biểu cảm: chào, đang nghĩ, ốm, nghỉ</t>
        </is>
      </c>
      <c r="E9" s="8" t="inlineStr">
        <is>
          <t>🟡 Làm sau được</t>
        </is>
      </c>
      <c r="F9" s="8" t="inlineStr">
        <is>
          <t>§1</t>
        </is>
      </c>
      <c r="G9" s="9" t="inlineStr">
        <is>
          <t>Chưa bắt đầu</t>
        </is>
      </c>
      <c r="H9" s="9" t="n"/>
      <c r="I9" s="10" t="n"/>
      <c r="J9" s="10" t="n"/>
      <c r="K9" s="9" t="n"/>
      <c r="L9" s="9" t="n"/>
    </row>
    <row r="10">
      <c r="A10" s="8" t="inlineStr">
        <is>
          <t>1.9</t>
        </is>
      </c>
      <c r="B10" s="8" t="inlineStr">
        <is>
          <t>Thương hiệu</t>
        </is>
      </c>
      <c r="C10" s="8" t="inlineStr">
        <is>
          <t>Gửi hoạ tiết / triện / chữ ký của xưởng (nếu có)</t>
        </is>
      </c>
      <c r="D10" s="8" t="inlineStr"/>
      <c r="E10" s="8" t="inlineStr">
        <is>
          <t>🟡 Làm sau được</t>
        </is>
      </c>
      <c r="F10" s="8" t="inlineStr">
        <is>
          <t>§1</t>
        </is>
      </c>
      <c r="G10" s="9" t="inlineStr">
        <is>
          <t>Chưa bắt đầu</t>
        </is>
      </c>
      <c r="H10" s="9" t="n"/>
      <c r="I10" s="10" t="n"/>
      <c r="J10" s="10" t="n"/>
      <c r="K10" s="9" t="n"/>
      <c r="L10" s="9" t="n"/>
    </row>
    <row r="11">
      <c r="A11" s="8" t="inlineStr">
        <is>
          <t>1.10</t>
        </is>
      </c>
      <c r="B11" s="8" t="inlineStr">
        <is>
          <t>Thương hiệu</t>
        </is>
      </c>
      <c r="C11" s="8" t="inlineStr">
        <is>
          <t>Viết tone of voice</t>
        </is>
      </c>
      <c r="D11" s="8" t="inlineStr">
        <is>
          <t>5–10 câu mẫu nên/không nên nói; cách xưng hô; có dùng emoji không</t>
        </is>
      </c>
      <c r="E11" s="8" t="inlineStr">
        <is>
          <t>🟠 Trước khi mở bán</t>
        </is>
      </c>
      <c r="F11" s="8" t="inlineStr">
        <is>
          <t>§1</t>
        </is>
      </c>
      <c r="G11" s="9" t="inlineStr">
        <is>
          <t>Chưa bắt đầu</t>
        </is>
      </c>
      <c r="H11" s="9" t="n"/>
      <c r="I11" s="10" t="n"/>
      <c r="J11" s="10" t="n"/>
      <c r="K11" s="9" t="n"/>
      <c r="L11" s="9" t="n"/>
    </row>
    <row r="12">
      <c r="A12" s="8" t="inlineStr">
        <is>
          <t>2.1</t>
        </is>
      </c>
      <c r="B12" s="8" t="inlineStr">
        <is>
          <t>Sản phẩm</t>
        </is>
      </c>
      <c r="C12" s="8" t="inlineStr">
        <is>
          <t>Điền bảng sản phẩm</t>
        </is>
      </c>
      <c r="D12" s="8" t="inlineStr">
        <is>
          <t>Tab "Sản phẩm (chữ)" + "Sản phẩm (giá, thông số)" trong file nội dung: tên, mô tả, giá đã gồm VAT, tồn kho</t>
        </is>
      </c>
      <c r="E12" s="8" t="inlineStr">
        <is>
          <t>🔴 Chặn go-live</t>
        </is>
      </c>
      <c r="F12" s="8" t="inlineStr">
        <is>
          <t>§2</t>
        </is>
      </c>
      <c r="G12" s="9" t="inlineStr">
        <is>
          <t>Chờ duyệt</t>
        </is>
      </c>
      <c r="H12" s="9" t="n"/>
      <c r="I12" s="10" t="n"/>
      <c r="J12" s="10" t="n"/>
      <c r="K12" s="9" t="n"/>
      <c r="L12" s="9" t="inlineStr">
        <is>
          <t>13/10: 5 đèn thật đã lên web (tên, mô tả, thông số, giá tạm). Duyệt tab "Sản phẩm" trong file nội dung</t>
        </is>
      </c>
    </row>
    <row r="13">
      <c r="A13" s="8" t="inlineStr">
        <is>
          <t>2.2</t>
        </is>
      </c>
      <c r="B13" s="8" t="inlineStr">
        <is>
          <t>Sản phẩm</t>
        </is>
      </c>
      <c r="C13" s="8" t="inlineStr">
        <is>
          <t>Điền 6 thông số mỗi đèn</t>
        </is>
      </c>
      <c r="D13" s="8" t="inlineStr">
        <is>
          <t>Kích thước · Chất liệu · Nguồn sáng · Cân nặng · Thời gian làm · Bảo quản</t>
        </is>
      </c>
      <c r="E13" s="8" t="inlineStr">
        <is>
          <t>🔴 Chặn go-live</t>
        </is>
      </c>
      <c r="F13" s="8" t="inlineStr">
        <is>
          <t>§2</t>
        </is>
      </c>
      <c r="G13" s="9" t="inlineStr">
        <is>
          <t>Chờ duyệt</t>
        </is>
      </c>
      <c r="H13" s="9" t="n"/>
      <c r="I13" s="10" t="n"/>
      <c r="J13" s="10" t="n"/>
      <c r="K13" s="9" t="n"/>
      <c r="L13" s="9" t="inlineStr">
        <is>
          <t>13/10: đã điền 4/6 thông số (kích thước, chất liệu, nguồn sáng, thời gian làm). Thiếu cân nặng, bảo quản → xem 2.7</t>
        </is>
      </c>
    </row>
    <row r="14">
      <c r="A14" s="8" t="inlineStr">
        <is>
          <t>2.3</t>
        </is>
      </c>
      <c r="B14" s="8" t="inlineStr">
        <is>
          <t>Sản phẩm</t>
        </is>
      </c>
      <c r="C14" s="8" t="inlineStr">
        <is>
          <t>Chụp &amp; gửi ảnh sản phẩm thật</t>
        </is>
      </c>
      <c r="D14" s="8" t="inlineStr">
        <is>
          <t>Vuông ≥1200×1200; đèn bật + tắt; ảnh bối cảnh + chi tiết; kèm alt text tiếng Việt và quyền sử dụng ảnh</t>
        </is>
      </c>
      <c r="E14" s="8" t="inlineStr">
        <is>
          <t>🔴 Chặn go-live</t>
        </is>
      </c>
      <c r="F14" s="8" t="inlineStr">
        <is>
          <t>§2</t>
        </is>
      </c>
      <c r="G14" s="9" t="inlineStr">
        <is>
          <t>Chưa bắt đầu</t>
        </is>
      </c>
      <c r="H14" s="9" t="n"/>
      <c r="I14" s="10" t="n"/>
      <c r="J14" s="10" t="n"/>
      <c r="K14" s="9" t="n"/>
      <c r="L14" s="9" t="n"/>
    </row>
    <row r="15">
      <c r="A15" s="8" t="inlineStr">
        <is>
          <t>2.4</t>
        </is>
      </c>
      <c r="B15" s="8" t="inlineStr">
        <is>
          <t>Sản phẩm</t>
        </is>
      </c>
      <c r="C15" s="8" t="inlineStr">
        <is>
          <t>Chốt bộ Sum Vầy gồm đèn nào, giá lẻ từng đèn (Q-05)</t>
        </is>
      </c>
      <c r="D15" s="8" t="inlineStr"/>
      <c r="E15" s="8" t="inlineStr">
        <is>
          <t>🔴 Chặn go-live</t>
        </is>
      </c>
      <c r="F15" s="8" t="inlineStr">
        <is>
          <t>§2</t>
        </is>
      </c>
      <c r="G15" s="9" t="inlineStr">
        <is>
          <t>Xong</t>
        </is>
      </c>
      <c r="H15" s="9" t="n"/>
      <c r="I15" s="10" t="n"/>
      <c r="J15" s="10" t="n"/>
      <c r="K15" s="9" t="n"/>
      <c r="L15" s="9" t="inlineStr">
        <is>
          <t>Không còn áp dụng: không có bộ Sum Vầy (D-104)</t>
        </is>
      </c>
    </row>
    <row r="16">
      <c r="A16" s="8" t="inlineStr">
        <is>
          <t>2.5</t>
        </is>
      </c>
      <c r="B16" s="8" t="inlineStr">
        <is>
          <t>Sản phẩm</t>
        </is>
      </c>
      <c r="C16" s="8" t="inlineStr">
        <is>
          <t>Chốt có bán sẵn hay làm theo đơn, số tồn ban đầu</t>
        </is>
      </c>
      <c r="D16" s="8" t="inlineStr"/>
      <c r="E16" s="8" t="inlineStr">
        <is>
          <t>🔴 Chặn go-live</t>
        </is>
      </c>
      <c r="F16" s="8" t="inlineStr">
        <is>
          <t>§2</t>
        </is>
      </c>
      <c r="G16" s="9" t="inlineStr">
        <is>
          <t>Chưa bắt đầu</t>
        </is>
      </c>
      <c r="H16" s="9" t="n"/>
      <c r="I16" s="10" t="n"/>
      <c r="J16" s="10" t="n"/>
      <c r="K16" s="9" t="n"/>
      <c r="L16" s="9" t="n"/>
    </row>
    <row r="17">
      <c r="A17" s="8" t="inlineStr">
        <is>
          <t>2.6</t>
        </is>
      </c>
      <c r="B17" s="8" t="inlineStr">
        <is>
          <t>Sản phẩm</t>
        </is>
      </c>
      <c r="C17" s="8" t="inlineStr">
        <is>
          <t>Chốt giá thật từng mẫu trong 5 đèn</t>
        </is>
      </c>
      <c r="D17" s="8" t="inlineStr">
        <is>
          <t>Hiện đang là giá tạm 1.400.000đ cho cả 5 (trung điểm 1,3–1,5 triệu của báo cáo, chưa kiểm chứng)</t>
        </is>
      </c>
      <c r="E17" s="8" t="inlineStr">
        <is>
          <t>🔴 Chặn go-live</t>
        </is>
      </c>
      <c r="F17" s="8" t="inlineStr">
        <is>
          <t>§2</t>
        </is>
      </c>
      <c r="G17" s="9" t="inlineStr">
        <is>
          <t>Chưa bắt đầu</t>
        </is>
      </c>
      <c r="H17" s="9" t="n"/>
      <c r="I17" s="10" t="n"/>
      <c r="J17" s="10" t="n"/>
      <c r="K17" s="9" t="n"/>
      <c r="L17" s="9" t="n"/>
    </row>
    <row r="18">
      <c r="A18" s="8" t="inlineStr">
        <is>
          <t>2.7</t>
        </is>
      </c>
      <c r="B18" s="8" t="inlineStr">
        <is>
          <t>Sản phẩm</t>
        </is>
      </c>
      <c r="C18" s="8" t="inlineStr">
        <is>
          <t>Gửi cân nặng và cách bảo quản của đèn</t>
        </is>
      </c>
      <c r="D18" s="8" t="inlineStr">
        <is>
          <t>Hai trong 6 thông số còn trống; xác nhận kích thước chốt (báo cáo ghi 12×12×20 cm là prototype)</t>
        </is>
      </c>
      <c r="E18" s="8" t="inlineStr">
        <is>
          <t>🔴 Chặn go-live</t>
        </is>
      </c>
      <c r="F18" s="8" t="inlineStr">
        <is>
          <t>§2</t>
        </is>
      </c>
      <c r="G18" s="9" t="inlineStr">
        <is>
          <t>Chưa bắt đầu</t>
        </is>
      </c>
      <c r="H18" s="9" t="n"/>
      <c r="I18" s="10" t="n"/>
      <c r="J18" s="10" t="n"/>
      <c r="K18" s="9" t="n"/>
      <c r="L18" s="9" t="n"/>
    </row>
    <row r="19">
      <c r="A19" s="8" t="inlineStr">
        <is>
          <t>2.8</t>
        </is>
      </c>
      <c r="B19" s="8" t="inlineStr">
        <is>
          <t>Sản phẩm</t>
        </is>
      </c>
      <c r="C19" s="8" t="inlineStr">
        <is>
          <t>Viết mô tả dài / câu chuyện cho từng đèn</t>
        </is>
      </c>
      <c r="D19" s="8" t="inlineStr">
        <is>
          <t>Content Plan đã có bài dài cho 5 đèn; web hiện chỉ có mô tả 1 câu — cho biết dùng nguyên bài hay rút gọn</t>
        </is>
      </c>
      <c r="E19" s="8" t="inlineStr">
        <is>
          <t>🟠 Trước khi mở bán</t>
        </is>
      </c>
      <c r="F19" s="8" t="inlineStr">
        <is>
          <t>§2</t>
        </is>
      </c>
      <c r="G19" s="9" t="inlineStr">
        <is>
          <t>Chưa bắt đầu</t>
        </is>
      </c>
      <c r="H19" s="9" t="n"/>
      <c r="I19" s="10" t="n"/>
      <c r="J19" s="10" t="n"/>
      <c r="K19" s="9" t="n"/>
      <c r="L19" s="9" t="n"/>
    </row>
    <row r="20">
      <c r="A20" s="8" t="inlineStr">
        <is>
          <t>3.1</t>
        </is>
      </c>
      <c r="B20" s="8" t="inlineStr">
        <is>
          <t>Bộ sưu tập</t>
        </is>
      </c>
      <c r="C20" s="8" t="inlineStr">
        <is>
          <t>Điền nội dung mỗi bộ sưu tập</t>
        </is>
      </c>
      <c r="D20" s="8" t="inlineStr">
        <is>
          <t>Tab "Bộ sưu tập": tên, mô tả, câu chuyện; ảnh bìa ngang ≥1600px</t>
        </is>
      </c>
      <c r="E20" s="8" t="inlineStr">
        <is>
          <t>🔴 Chặn go-live</t>
        </is>
      </c>
      <c r="F20" s="8" t="inlineStr">
        <is>
          <t>§3</t>
        </is>
      </c>
      <c r="G20" s="9" t="inlineStr">
        <is>
          <t>Chờ duyệt</t>
        </is>
      </c>
      <c r="H20" s="9" t="n"/>
      <c r="I20" s="10" t="n"/>
      <c r="J20" s="10" t="n"/>
      <c r="K20" s="9" t="n"/>
      <c r="L20" s="9" t="inlineStr">
        <is>
          <t>13/10: 1 bộ "Bộ sưu tập đầu tiên" + câu chuyện bộ do dev soạn từ Content Plan</t>
        </is>
      </c>
    </row>
    <row r="21">
      <c r="A21" s="8" t="inlineStr">
        <is>
          <t>3.2</t>
        </is>
      </c>
      <c r="B21" s="8" t="inlineStr">
        <is>
          <t>Bộ sưu tập</t>
        </is>
      </c>
      <c r="C21" s="8" t="inlineStr">
        <is>
          <t>Chốt có thêm category/bộ lọc khác không</t>
        </is>
      </c>
      <c r="D21" s="8" t="inlineStr">
        <is>
          <t>Theo dịp (Tết, Trung thu, tân gia…), theo không gian (bàn trà, phòng ngủ…), theo giá</t>
        </is>
      </c>
      <c r="E21" s="8" t="inlineStr">
        <is>
          <t>🟠 Trước khi mở bán</t>
        </is>
      </c>
      <c r="F21" s="8" t="inlineStr">
        <is>
          <t>§3</t>
        </is>
      </c>
      <c r="G21" s="9" t="inlineStr">
        <is>
          <t>Chưa bắt đầu</t>
        </is>
      </c>
      <c r="H21" s="9" t="n"/>
      <c r="I21" s="10" t="n"/>
      <c r="J21" s="10" t="n"/>
      <c r="K21" s="9" t="n"/>
      <c r="L21" s="9" t="n"/>
    </row>
    <row r="22">
      <c r="A22" s="8" t="inlineStr">
        <is>
          <t>3.3</t>
        </is>
      </c>
      <c r="B22" s="8" t="inlineStr">
        <is>
          <t>Bộ sưu tập</t>
        </is>
      </c>
      <c r="C22" s="8" t="inlineStr">
        <is>
          <t>Viết nội dung phần thưởng cốt truyện cho Gallery / chăn Đông Hồ</t>
        </is>
      </c>
      <c r="D22" s="8" t="inlineStr">
        <is>
          <t>Và xác nhận còn muốn giữ tính năng này</t>
        </is>
      </c>
      <c r="E22" s="8" t="inlineStr">
        <is>
          <t>🟠 Trước khi mở bán</t>
        </is>
      </c>
      <c r="F22" s="8" t="inlineStr">
        <is>
          <t>§3</t>
        </is>
      </c>
      <c r="G22" s="9" t="inlineStr">
        <is>
          <t>Chưa bắt đầu</t>
        </is>
      </c>
      <c r="H22" s="9" t="n"/>
      <c r="I22" s="10" t="n"/>
      <c r="J22" s="10" t="n"/>
      <c r="K22" s="9" t="n"/>
      <c r="L22" s="9" t="n"/>
    </row>
    <row r="23">
      <c r="A23" s="8" t="inlineStr">
        <is>
          <t>4.1</t>
        </is>
      </c>
      <c r="B23" s="8" t="inlineStr">
        <is>
          <t>Trang chủ</t>
        </is>
      </c>
      <c r="C23" s="8" t="inlineStr">
        <is>
          <t>Duyệt/sửa Hero (HOME-02) + gửi ảnh hoặc video hero thật</t>
        </is>
      </c>
      <c r="D23" s="8" t="inlineStr">
        <is>
          <t>Xác nhận "làng nghề trăm năm" đúng sự thật</t>
        </is>
      </c>
      <c r="E23" s="8" t="inlineStr">
        <is>
          <t>🔴 Chặn go-live</t>
        </is>
      </c>
      <c r="F23" s="8" t="inlineStr">
        <is>
          <t>§4</t>
        </is>
      </c>
      <c r="G23" s="9" t="inlineStr">
        <is>
          <t>Chưa bắt đầu</t>
        </is>
      </c>
      <c r="H23" s="9" t="n"/>
      <c r="I23" s="10" t="n"/>
      <c r="J23" s="10" t="n"/>
      <c r="K23" s="9" t="n"/>
      <c r="L23" s="9" t="n"/>
    </row>
    <row r="24">
      <c r="A24" s="8" t="inlineStr">
        <is>
          <t>4.2</t>
        </is>
      </c>
      <c r="B24" s="8" t="inlineStr">
        <is>
          <t>Trang chủ</t>
        </is>
      </c>
      <c r="C24" s="8" t="inlineStr">
        <is>
          <t>Duyệt dải chữ chạy (HOME-03)</t>
        </is>
      </c>
      <c r="D24" s="8" t="inlineStr"/>
      <c r="E24" s="8" t="inlineStr">
        <is>
          <t>🟡 Làm sau được</t>
        </is>
      </c>
      <c r="F24" s="8" t="inlineStr">
        <is>
          <t>§4</t>
        </is>
      </c>
      <c r="G24" s="9" t="inlineStr">
        <is>
          <t>Chưa bắt đầu</t>
        </is>
      </c>
      <c r="H24" s="9" t="n"/>
      <c r="I24" s="10" t="n"/>
      <c r="J24" s="10" t="n"/>
      <c r="K24" s="9" t="n"/>
      <c r="L24" s="9" t="n"/>
    </row>
    <row r="25">
      <c r="A25" s="8" t="inlineStr">
        <is>
          <t>4.3</t>
        </is>
      </c>
      <c r="B25" s="8" t="inlineStr">
        <is>
          <t>Trang chủ</t>
        </is>
      </c>
      <c r="C25" s="8" t="inlineStr">
        <is>
          <t>Gửi số liệu thật + câu chuyện làng nghề (HOME-04)</t>
        </is>
      </c>
      <c r="D25" s="8" t="inlineStr">
        <is>
          <t>79+ năm, 10 nghệ nhân hiện là số MẪU</t>
        </is>
      </c>
      <c r="E25" s="8" t="inlineStr">
        <is>
          <t>🔴 Chặn go-live</t>
        </is>
      </c>
      <c r="F25" s="8" t="inlineStr">
        <is>
          <t>§4</t>
        </is>
      </c>
      <c r="G25" s="9" t="inlineStr">
        <is>
          <t>Chờ duyệt</t>
        </is>
      </c>
      <c r="H25" s="9" t="n"/>
      <c r="I25" s="10" t="n"/>
      <c r="J25" s="10" t="n"/>
      <c r="K25" s="9" t="n"/>
      <c r="L25" s="9" t="inlineStr">
        <is>
          <t>13/10: đã thay số mẫu bằng 5 đèn / 3 chặng / 1 lời chúc. Cần câu chuyện làng nghề thật</t>
        </is>
      </c>
    </row>
    <row r="26">
      <c r="A26" s="8" t="inlineStr">
        <is>
          <t>4.4</t>
        </is>
      </c>
      <c r="B26" s="8" t="inlineStr">
        <is>
          <t>Trang chủ</t>
        </is>
      </c>
      <c r="C26" s="8" t="inlineStr">
        <is>
          <t>Khối Nghệ nhân (HOME-05): gửi nhân vật thật hoặc bỏ khối</t>
        </is>
      </c>
      <c r="D26" s="8" t="inlineStr">
        <is>
          <t>Tên, ảnh chân dung, câu nói, 32 năm / 4.000+ đèn là mẫu; cần văn bản đồng ý của nghệ nhân</t>
        </is>
      </c>
      <c r="E26" s="8" t="inlineStr">
        <is>
          <t>🔴 Chặn go-live</t>
        </is>
      </c>
      <c r="F26" s="8" t="inlineStr">
        <is>
          <t>§4</t>
        </is>
      </c>
      <c r="G26" s="9" t="inlineStr">
        <is>
          <t>Chờ duyệt</t>
        </is>
      </c>
      <c r="H26" s="9" t="n"/>
      <c r="I26" s="10" t="n"/>
      <c r="J26" s="10" t="n"/>
      <c r="K26" s="9" t="n"/>
      <c r="L26" s="9" t="inlineStr">
        <is>
          <t>13/10: đã dùng tên Nghệ nhân Ưu tú Nguyễn Hữu Quả, bỏ câu trích + số liệu mẫu. Cần ảnh + đồng ý → xem 8.11</t>
        </is>
      </c>
    </row>
    <row r="27">
      <c r="A27" s="8" t="inlineStr">
        <is>
          <t>4.5</t>
        </is>
      </c>
      <c r="B27" s="8" t="inlineStr">
        <is>
          <t>Trang chủ</t>
        </is>
      </c>
      <c r="C27" s="8" t="inlineStr">
        <is>
          <t>Duyệt câu giới thiệu bộ sưu tập (HOME-06)</t>
        </is>
      </c>
      <c r="D27" s="8" t="inlineStr"/>
      <c r="E27" s="8" t="inlineStr">
        <is>
          <t>🟠 Trước khi mở bán</t>
        </is>
      </c>
      <c r="F27" s="8" t="inlineStr">
        <is>
          <t>§4</t>
        </is>
      </c>
      <c r="G27" s="9" t="inlineStr">
        <is>
          <t>Chưa bắt đầu</t>
        </is>
      </c>
      <c r="H27" s="9" t="n"/>
      <c r="I27" s="10" t="n"/>
      <c r="J27" s="10" t="n"/>
      <c r="K27" s="9" t="n"/>
      <c r="L27" s="9" t="n"/>
    </row>
    <row r="28">
      <c r="A28" s="8" t="inlineStr">
        <is>
          <t>4.6</t>
        </is>
      </c>
      <c r="B28" s="8" t="inlineStr">
        <is>
          <t>Trang chủ</t>
        </is>
      </c>
      <c r="C28" s="8" t="inlineStr">
        <is>
          <t>Lookbook (HOME-07): gửi ảnh thật + chốt 5 tên màu</t>
        </is>
      </c>
      <c r="D28" s="8" t="inlineStr"/>
      <c r="E28" s="8" t="inlineStr">
        <is>
          <t>🟠 Trước khi mở bán</t>
        </is>
      </c>
      <c r="F28" s="8" t="inlineStr">
        <is>
          <t>§4</t>
        </is>
      </c>
      <c r="G28" s="9" t="inlineStr">
        <is>
          <t>Chờ duyệt</t>
        </is>
      </c>
      <c r="H28" s="9" t="n"/>
      <c r="I28" s="10" t="n"/>
      <c r="J28" s="10" t="n"/>
      <c r="K28" s="9" t="n"/>
      <c r="L28" s="9" t="inlineStr">
        <is>
          <t>13/10: lookbook = 5 tên đèn. Cần ảnh thật</t>
        </is>
      </c>
    </row>
    <row r="29">
      <c r="A29" s="8" t="inlineStr">
        <is>
          <t>4.7</t>
        </is>
      </c>
      <c r="B29" s="8" t="inlineStr">
        <is>
          <t>Trang chủ</t>
        </is>
      </c>
      <c r="C29" s="8" t="inlineStr">
        <is>
          <t>Hành trình thủ công (HOME-08): xác nhận 4 bước + ảnh/video từng bước</t>
        </is>
      </c>
      <c r="D29" s="8" t="inlineStr"/>
      <c r="E29" s="8" t="inlineStr">
        <is>
          <t>🟠 Trước khi mở bán</t>
        </is>
      </c>
      <c r="F29" s="8" t="inlineStr">
        <is>
          <t>§4</t>
        </is>
      </c>
      <c r="G29" s="9" t="inlineStr">
        <is>
          <t>Chờ duyệt</t>
        </is>
      </c>
      <c r="H29" s="9" t="n"/>
      <c r="I29" s="10" t="n"/>
      <c r="J29" s="10" t="n"/>
      <c r="K29" s="9" t="n"/>
      <c r="L29" s="9" t="inlineStr">
        <is>
          <t>13/10: 4 bước đã đổi theo Content Plan. Cần xác nhận + ảnh/video</t>
        </is>
      </c>
    </row>
    <row r="30">
      <c r="A30" s="8" t="inlineStr">
        <is>
          <t>4.8</t>
        </is>
      </c>
      <c r="B30" s="8" t="inlineStr">
        <is>
          <t>Trang chủ</t>
        </is>
      </c>
      <c r="C30" s="8" t="inlineStr">
        <is>
          <t>Duyệt khối Trải nghiệm QR (HOME-09)</t>
        </is>
      </c>
      <c r="D30" s="8" t="inlineStr">
        <is>
          <t>Nhất là câu thời hạn lưu 30 ngày</t>
        </is>
      </c>
      <c r="E30" s="8" t="inlineStr">
        <is>
          <t>🟠 Trước khi mở bán</t>
        </is>
      </c>
      <c r="F30" s="8" t="inlineStr">
        <is>
          <t>§4</t>
        </is>
      </c>
      <c r="G30" s="9" t="inlineStr">
        <is>
          <t>Chờ duyệt</t>
        </is>
      </c>
      <c r="H30" s="9" t="n"/>
      <c r="I30" s="10" t="n"/>
      <c r="J30" s="10" t="n"/>
      <c r="K30" s="9" t="n"/>
      <c r="L30" s="9" t="inlineStr">
        <is>
          <t>13/10: đã sửa QR chỉ ở thiệp cảm ơn (D-104)</t>
        </is>
      </c>
    </row>
    <row r="31">
      <c r="A31" s="8" t="inlineStr">
        <is>
          <t>4.9</t>
        </is>
      </c>
      <c r="B31" s="8" t="inlineStr">
        <is>
          <t>Trang chủ</t>
        </is>
      </c>
      <c r="C31" s="8" t="inlineStr">
        <is>
          <t>Testimonials (HOME-10): gửi đánh giá thật + đồng ý của người viết, hoặc bỏ</t>
        </is>
      </c>
      <c r="D31" s="8" t="inlineStr">
        <is>
          <t>Hiện đang ẩn</t>
        </is>
      </c>
      <c r="E31" s="8" t="inlineStr">
        <is>
          <t>🟡 Làm sau được</t>
        </is>
      </c>
      <c r="F31" s="8" t="inlineStr">
        <is>
          <t>§4</t>
        </is>
      </c>
      <c r="G31" s="9" t="inlineStr">
        <is>
          <t>Chưa bắt đầu</t>
        </is>
      </c>
      <c r="H31" s="9" t="n"/>
      <c r="I31" s="10" t="n"/>
      <c r="J31" s="10" t="n"/>
      <c r="K31" s="9" t="n"/>
      <c r="L31" s="9" t="n"/>
    </row>
    <row r="32">
      <c r="A32" s="8" t="inlineStr">
        <is>
          <t>4.10</t>
        </is>
      </c>
      <c r="B32" s="8" t="inlineStr">
        <is>
          <t>Trang chủ</t>
        </is>
      </c>
      <c r="C32" s="8" t="inlineStr">
        <is>
          <t>Duyệt 5 FAQ + thêm câu hỏi thực tế khách hay hỏi (HOME-11)</t>
        </is>
      </c>
      <c r="D32" s="8" t="inlineStr">
        <is>
          <t>Tab "FAQ"</t>
        </is>
      </c>
      <c r="E32" s="8" t="inlineStr">
        <is>
          <t>🔴 Chặn go-live</t>
        </is>
      </c>
      <c r="F32" s="8" t="inlineStr">
        <is>
          <t>§4</t>
        </is>
      </c>
      <c r="G32" s="9" t="inlineStr">
        <is>
          <t>Chờ duyệt</t>
        </is>
      </c>
      <c r="H32" s="9" t="n"/>
      <c r="I32" s="10" t="n"/>
      <c r="J32" s="10" t="n"/>
      <c r="K32" s="9" t="n"/>
      <c r="L32" s="9" t="inlineStr">
        <is>
          <t>13/10: FAQ 9 câu (thêm 4 câu). Cần thêm câu hỏi thực tế</t>
        </is>
      </c>
    </row>
    <row r="33">
      <c r="A33" s="8" t="inlineStr">
        <is>
          <t>4.11</t>
        </is>
      </c>
      <c r="B33" s="8" t="inlineStr">
        <is>
          <t>Trang chủ</t>
        </is>
      </c>
      <c r="C33" s="8" t="inlineStr">
        <is>
          <t>Duyệt tiêu đề/mô tả SEO hiện trên Google</t>
        </is>
      </c>
      <c r="D33" s="8" t="inlineStr"/>
      <c r="E33" s="8" t="inlineStr">
        <is>
          <t>🟠 Trước khi mở bán</t>
        </is>
      </c>
      <c r="F33" s="8" t="inlineStr">
        <is>
          <t>§4</t>
        </is>
      </c>
      <c r="G33" s="9" t="inlineStr">
        <is>
          <t>Chưa bắt đầu</t>
        </is>
      </c>
      <c r="H33" s="9" t="n"/>
      <c r="I33" s="10" t="n"/>
      <c r="J33" s="10" t="n"/>
      <c r="K33" s="9" t="n"/>
      <c r="L33" s="9" t="n"/>
    </row>
    <row r="34">
      <c r="A34" s="8" t="inlineStr">
        <is>
          <t>4.12</t>
        </is>
      </c>
      <c r="B34" s="8" t="inlineStr">
        <is>
          <t>Trang chủ</t>
        </is>
      </c>
      <c r="C34" s="8" t="inlineStr">
        <is>
          <t>Chốt giữ hay bỏ form newsletter (G-11)</t>
        </is>
      </c>
      <c r="D34" s="8" t="inlineStr"/>
      <c r="E34" s="8" t="inlineStr">
        <is>
          <t>🟡 Làm sau được</t>
        </is>
      </c>
      <c r="F34" s="8" t="inlineStr">
        <is>
          <t>§4</t>
        </is>
      </c>
      <c r="G34" s="9" t="inlineStr">
        <is>
          <t>Chưa bắt đầu</t>
        </is>
      </c>
      <c r="H34" s="9" t="n"/>
      <c r="I34" s="10" t="n"/>
      <c r="J34" s="10" t="n"/>
      <c r="K34" s="9" t="n"/>
      <c r="L34" s="9" t="n"/>
    </row>
    <row r="35">
      <c r="A35" s="8" t="inlineStr">
        <is>
          <t>5.1</t>
        </is>
      </c>
      <c r="B35" s="8" t="inlineStr">
        <is>
          <t>Các trang khác</t>
        </is>
      </c>
      <c r="C35" s="8" t="inlineStr">
        <is>
          <t>Duyệt chữ Cửa hàng / Chi tiết sản phẩm / Bộ sưu tập</t>
        </is>
      </c>
      <c r="D35" s="8" t="inlineStr">
        <is>
          <t>Tab "Nội dung web"</t>
        </is>
      </c>
      <c r="E35" s="8" t="inlineStr">
        <is>
          <t>🟠 Trước khi mở bán</t>
        </is>
      </c>
      <c r="F35" s="8" t="inlineStr">
        <is>
          <t>§5</t>
        </is>
      </c>
      <c r="G35" s="9" t="inlineStr">
        <is>
          <t>Chưa bắt đầu</t>
        </is>
      </c>
      <c r="H35" s="9" t="n"/>
      <c r="I35" s="10" t="n"/>
      <c r="J35" s="10" t="n"/>
      <c r="K35" s="9" t="n"/>
      <c r="L35" s="9" t="n"/>
    </row>
    <row r="36">
      <c r="A36" s="8" t="inlineStr">
        <is>
          <t>5.2</t>
        </is>
      </c>
      <c r="B36" s="8" t="inlineStr">
        <is>
          <t>Các trang khác</t>
        </is>
      </c>
      <c r="C36" s="8" t="inlineStr">
        <is>
          <t>Duyệt chữ Giỏ hàng / Thanh toán / Đơn hàng</t>
        </is>
      </c>
      <c r="D36" s="8" t="inlineStr"/>
      <c r="E36" s="8" t="inlineStr">
        <is>
          <t>🟠 Trước khi mở bán</t>
        </is>
      </c>
      <c r="F36" s="8" t="inlineStr">
        <is>
          <t>§5</t>
        </is>
      </c>
      <c r="G36" s="9" t="inlineStr">
        <is>
          <t>Chưa bắt đầu</t>
        </is>
      </c>
      <c r="H36" s="9" t="n"/>
      <c r="I36" s="10" t="n"/>
      <c r="J36" s="10" t="n"/>
      <c r="K36" s="9" t="n"/>
      <c r="L36" s="9" t="n"/>
    </row>
    <row r="37">
      <c r="A37" s="8" t="inlineStr">
        <is>
          <t>5.3</t>
        </is>
      </c>
      <c r="B37" s="8" t="inlineStr">
        <is>
          <t>Các trang khác</t>
        </is>
      </c>
      <c r="C37" s="8" t="inlineStr">
        <is>
          <t>Duyệt chữ Đăng nhập / Đăng ký / Quên mật khẩu + gửi ảnh nền thương hiệu</t>
        </is>
      </c>
      <c r="D37" s="8" t="inlineStr"/>
      <c r="E37" s="8" t="inlineStr">
        <is>
          <t>🟠 Trước khi mở bán</t>
        </is>
      </c>
      <c r="F37" s="8" t="inlineStr">
        <is>
          <t>§5</t>
        </is>
      </c>
      <c r="G37" s="9" t="inlineStr">
        <is>
          <t>Chưa bắt đầu</t>
        </is>
      </c>
      <c r="H37" s="9" t="n"/>
      <c r="I37" s="10" t="n"/>
      <c r="J37" s="10" t="n"/>
      <c r="K37" s="9" t="n"/>
      <c r="L37" s="9" t="n"/>
    </row>
    <row r="38">
      <c r="A38" s="8" t="inlineStr">
        <is>
          <t>5.4</t>
        </is>
      </c>
      <c r="B38" s="8" t="inlineStr">
        <is>
          <t>Các trang khác</t>
        </is>
      </c>
      <c r="C38" s="8" t="inlineStr">
        <is>
          <t>Duyệt chữ trang người nhận mở lời chúc (QR-GIFT)</t>
        </is>
      </c>
      <c r="D38" s="8" t="inlineStr">
        <is>
          <t>Điểm chạm cảm xúc nhất — nên do copywriter viết</t>
        </is>
      </c>
      <c r="E38" s="8" t="inlineStr">
        <is>
          <t>🟠 Trước khi mở bán</t>
        </is>
      </c>
      <c r="F38" s="8" t="inlineStr">
        <is>
          <t>§5</t>
        </is>
      </c>
      <c r="G38" s="9" t="inlineStr">
        <is>
          <t>Chưa bắt đầu</t>
        </is>
      </c>
      <c r="H38" s="9" t="n"/>
      <c r="I38" s="10" t="n"/>
      <c r="J38" s="10" t="n"/>
      <c r="K38" s="9" t="n"/>
      <c r="L38" s="9" t="n"/>
    </row>
    <row r="39">
      <c r="A39" s="8" t="inlineStr">
        <is>
          <t>5.5</t>
        </is>
      </c>
      <c r="B39" s="8" t="inlineStr">
        <is>
          <t>Các trang khác</t>
        </is>
      </c>
      <c r="C39" s="8" t="inlineStr">
        <is>
          <t>Duyệt chữ Liên hệ, 404, bảo trì</t>
        </is>
      </c>
      <c r="D39" s="8" t="inlineStr"/>
      <c r="E39" s="8" t="inlineStr">
        <is>
          <t>🟠 Trước khi mở bán</t>
        </is>
      </c>
      <c r="F39" s="8" t="inlineStr">
        <is>
          <t>§5</t>
        </is>
      </c>
      <c r="G39" s="9" t="inlineStr">
        <is>
          <t>Chưa bắt đầu</t>
        </is>
      </c>
      <c r="H39" s="9" t="n"/>
      <c r="I39" s="10" t="n"/>
      <c r="J39" s="10" t="n"/>
      <c r="K39" s="9" t="n"/>
      <c r="L39" s="9" t="n"/>
    </row>
    <row r="40">
      <c r="A40" s="8" t="inlineStr">
        <is>
          <t>5.6</t>
        </is>
      </c>
      <c r="B40" s="8" t="inlineStr">
        <is>
          <t>Các trang khác</t>
        </is>
      </c>
      <c r="C40" s="8" t="inlineStr">
        <is>
          <t>Duyệt tên các trạng thái đơn hàng</t>
        </is>
      </c>
      <c r="D40" s="8" t="inlineStr">
        <is>
          <t>Chờ thanh toán, Đang làm, Đã đóng gói, Đã gửi, Đã giao, Đã huỷ, Hoàn tiền</t>
        </is>
      </c>
      <c r="E40" s="8" t="inlineStr">
        <is>
          <t>🟠 Trước khi mở bán</t>
        </is>
      </c>
      <c r="F40" s="8" t="inlineStr">
        <is>
          <t>§5</t>
        </is>
      </c>
      <c r="G40" s="9" t="inlineStr">
        <is>
          <t>Chưa bắt đầu</t>
        </is>
      </c>
      <c r="H40" s="9" t="n"/>
      <c r="I40" s="10" t="n"/>
      <c r="J40" s="10" t="n"/>
      <c r="K40" s="9" t="n"/>
      <c r="L40" s="9" t="n"/>
    </row>
    <row r="41">
      <c r="A41" s="8" t="inlineStr">
        <is>
          <t>6.1</t>
        </is>
      </c>
      <c r="B41" s="8" t="inlineStr">
        <is>
          <t>Mây (AI)</t>
        </is>
      </c>
      <c r="C41" s="8" t="inlineStr">
        <is>
          <t>Chốt tính cách &amp; giọng nói của Mây</t>
        </is>
      </c>
      <c r="D41" s="8" t="inlineStr">
        <is>
          <t>Xưng hô, từ nên/cấm dùng, độ dài câu trả lời</t>
        </is>
      </c>
      <c r="E41" s="8" t="inlineStr">
        <is>
          <t>🟠 Trước khi mở bán</t>
        </is>
      </c>
      <c r="F41" s="8" t="inlineStr">
        <is>
          <t>§6</t>
        </is>
      </c>
      <c r="G41" s="9" t="inlineStr">
        <is>
          <t>Chưa bắt đầu</t>
        </is>
      </c>
      <c r="H41" s="9" t="n"/>
      <c r="I41" s="10" t="n"/>
      <c r="J41" s="10" t="n"/>
      <c r="K41" s="9" t="n"/>
      <c r="L41" s="9" t="n"/>
    </row>
    <row r="42">
      <c r="A42" s="8" t="inlineStr">
        <is>
          <t>6.2</t>
        </is>
      </c>
      <c r="B42" s="8" t="inlineStr">
        <is>
          <t>Mây (AI)</t>
        </is>
      </c>
      <c r="C42" s="8" t="inlineStr">
        <is>
          <t>Viết kho kiến thức cho Mây (≥30 câu FAQ)</t>
        </is>
      </c>
      <c r="D42" s="8" t="inlineStr">
        <is>
          <t>Chất liệu, quy trình, bảo quản, an toàn, quà doanh nghiệp, in logo…</t>
        </is>
      </c>
      <c r="E42" s="8" t="inlineStr">
        <is>
          <t>🔴 Chặn go-live</t>
        </is>
      </c>
      <c r="F42" s="8" t="inlineStr">
        <is>
          <t>§6</t>
        </is>
      </c>
      <c r="G42" s="9" t="inlineStr">
        <is>
          <t>Đang làm</t>
        </is>
      </c>
      <c r="H42" s="9" t="n"/>
      <c r="I42" s="10" t="n"/>
      <c r="J42" s="10" t="n"/>
      <c r="K42" s="9" t="n"/>
      <c r="L42" s="9" t="inlineStr">
        <is>
          <t>13/10: FAQ mới 9 câu — Mây dùng FAQ làm kiến thức</t>
        </is>
      </c>
    </row>
    <row r="43">
      <c r="A43" s="8" t="inlineStr">
        <is>
          <t>6.3</t>
        </is>
      </c>
      <c r="B43" s="8" t="inlineStr">
        <is>
          <t>Mây (AI)</t>
        </is>
      </c>
      <c r="C43" s="8" t="inlineStr">
        <is>
          <t>Danh sách chủ đề Mây không được trả lời / phải chuyển nhân viên</t>
        </is>
      </c>
      <c r="D43" s="8" t="inlineStr"/>
      <c r="E43" s="8" t="inlineStr">
        <is>
          <t>🟠 Trước khi mở bán</t>
        </is>
      </c>
      <c r="F43" s="8" t="inlineStr">
        <is>
          <t>§6</t>
        </is>
      </c>
      <c r="G43" s="9" t="inlineStr">
        <is>
          <t>Chưa bắt đầu</t>
        </is>
      </c>
      <c r="H43" s="9" t="n"/>
      <c r="I43" s="10" t="n"/>
      <c r="J43" s="10" t="n"/>
      <c r="K43" s="9" t="n"/>
      <c r="L43" s="9" t="n"/>
    </row>
    <row r="44">
      <c r="A44" s="8" t="inlineStr">
        <is>
          <t>6.4</t>
        </is>
      </c>
      <c r="B44" s="8" t="inlineStr">
        <is>
          <t>Mây (AI)</t>
        </is>
      </c>
      <c r="C44" s="8" t="inlineStr">
        <is>
          <t>Cung cấp kênh chuyển nhân viên + giờ trực</t>
        </is>
      </c>
      <c r="D44" s="8" t="inlineStr">
        <is>
          <t>Zalo / hotline / email</t>
        </is>
      </c>
      <c r="E44" s="8" t="inlineStr">
        <is>
          <t>🔴 Chặn go-live</t>
        </is>
      </c>
      <c r="F44" s="8" t="inlineStr">
        <is>
          <t>§6</t>
        </is>
      </c>
      <c r="G44" s="9" t="inlineStr">
        <is>
          <t>Chưa bắt đầu</t>
        </is>
      </c>
      <c r="H44" s="9" t="n"/>
      <c r="I44" s="10" t="n"/>
      <c r="J44" s="10" t="n"/>
      <c r="K44" s="9" t="n"/>
      <c r="L44" s="9" t="n"/>
    </row>
    <row r="45">
      <c r="A45" s="8" t="inlineStr">
        <is>
          <t>6.5</t>
        </is>
      </c>
      <c r="B45" s="8" t="inlineStr">
        <is>
          <t>Mây (AI)</t>
        </is>
      </c>
      <c r="C45" s="8" t="inlineStr">
        <is>
          <t>Duyệt câu báo lỗi, câu gợi ý, câu chào, tour 5 bước</t>
        </is>
      </c>
      <c r="D45" s="8" t="inlineStr">
        <is>
          <t>Tab "Mây" và "Nội dung web"</t>
        </is>
      </c>
      <c r="E45" s="8" t="inlineStr">
        <is>
          <t>🟡 Làm sau được</t>
        </is>
      </c>
      <c r="F45" s="8" t="inlineStr">
        <is>
          <t>§6</t>
        </is>
      </c>
      <c r="G45" s="9" t="inlineStr">
        <is>
          <t>Chờ duyệt</t>
        </is>
      </c>
      <c r="H45" s="9" t="n"/>
      <c r="I45" s="10" t="n"/>
      <c r="J45" s="10" t="n"/>
      <c r="K45" s="9" t="n"/>
      <c r="L45" s="9" t="inlineStr">
        <is>
          <t>13/10: câu tour về QR đã sửa theo D-104</t>
        </is>
      </c>
    </row>
    <row r="46">
      <c r="A46" s="8" t="inlineStr">
        <is>
          <t>6.6</t>
        </is>
      </c>
      <c r="B46" s="8" t="inlineStr">
        <is>
          <t>Mây (AI)</t>
        </is>
      </c>
      <c r="C46" s="8" t="inlineStr">
        <is>
          <t>Chốt hạn mức &amp; ngân sách OpenAI</t>
        </is>
      </c>
      <c r="D46" s="8" t="inlineStr">
        <is>
          <t>Hiện 20 USD/tháng; 20/50/100 tin nhắn</t>
        </is>
      </c>
      <c r="E46" s="8" t="inlineStr">
        <is>
          <t>🟡 Làm sau được</t>
        </is>
      </c>
      <c r="F46" s="8" t="inlineStr">
        <is>
          <t>§6</t>
        </is>
      </c>
      <c r="G46" s="9" t="inlineStr">
        <is>
          <t>Chưa bắt đầu</t>
        </is>
      </c>
      <c r="H46" s="9" t="n"/>
      <c r="I46" s="10" t="n"/>
      <c r="J46" s="10" t="n"/>
      <c r="K46" s="9" t="n"/>
      <c r="L46" s="9" t="n"/>
    </row>
    <row r="47">
      <c r="A47" s="8" t="inlineStr">
        <is>
          <t>6.7</t>
        </is>
      </c>
      <c r="B47" s="8" t="inlineStr">
        <is>
          <t>Mây (AI)</t>
        </is>
      </c>
      <c r="C47" s="8" t="inlineStr">
        <is>
          <t>Pháp chế duyệt thông báo xử lý dữ liệu ở nước ngoài + quyền xoá lịch sử chat (I-15)</t>
        </is>
      </c>
      <c r="D47" s="8" t="inlineStr"/>
      <c r="E47" s="8" t="inlineStr">
        <is>
          <t>🔴 Chặn go-live</t>
        </is>
      </c>
      <c r="F47" s="8" t="inlineStr">
        <is>
          <t>§6</t>
        </is>
      </c>
      <c r="G47" s="9" t="inlineStr">
        <is>
          <t>Chưa bắt đầu</t>
        </is>
      </c>
      <c r="H47" s="9" t="n"/>
      <c r="I47" s="10" t="n"/>
      <c r="J47" s="10" t="n"/>
      <c r="K47" s="9" t="n"/>
      <c r="L47" s="9" t="n"/>
    </row>
    <row r="48">
      <c r="A48" s="8" t="inlineStr">
        <is>
          <t>7.1</t>
        </is>
      </c>
      <c r="B48" s="8" t="inlineStr">
        <is>
          <t>Lô đèn &amp; QR</t>
        </is>
      </c>
      <c r="C48" s="8" t="inlineStr">
        <is>
          <t>Quay &amp; gửi video quy trình cho lô đầu tiên</t>
        </is>
      </c>
      <c r="D48" s="8" t="inlineStr">
        <is>
          <t>Mã lô, ngày làm, tiêu đề VI/EN/ZH, câu chuyện, file MP4/WebM/MOV ≤500 MB</t>
        </is>
      </c>
      <c r="E48" s="8" t="inlineStr">
        <is>
          <t>🔴 Chặn go-live</t>
        </is>
      </c>
      <c r="F48" s="8" t="inlineStr">
        <is>
          <t>§7</t>
        </is>
      </c>
      <c r="G48" s="9" t="inlineStr">
        <is>
          <t>Chưa bắt đầu</t>
        </is>
      </c>
      <c r="H48" s="9" t="n"/>
      <c r="I48" s="10" t="n"/>
      <c r="J48" s="10" t="n"/>
      <c r="K48" s="9" t="n"/>
      <c r="L48" s="9" t="n"/>
    </row>
    <row r="49">
      <c r="A49" s="8" t="inlineStr">
        <is>
          <t>7.2</t>
        </is>
      </c>
      <c r="B49" s="8" t="inlineStr">
        <is>
          <t>Lô đèn &amp; QR</t>
        </is>
      </c>
      <c r="C49" s="8" t="inlineStr">
        <is>
          <t>Chốt quy tắc đặt mã lô + quy trình in thiệp có QR (không khắc lên đèn)</t>
        </is>
      </c>
      <c r="D49" s="8" t="inlineStr"/>
      <c r="E49" s="8" t="inlineStr">
        <is>
          <t>🟠 Trước khi mở bán</t>
        </is>
      </c>
      <c r="F49" s="8" t="inlineStr">
        <is>
          <t>§7</t>
        </is>
      </c>
      <c r="G49" s="9" t="inlineStr">
        <is>
          <t>Chưa bắt đầu</t>
        </is>
      </c>
      <c r="H49" s="9" t="n"/>
      <c r="I49" s="10" t="n"/>
      <c r="J49" s="10" t="n"/>
      <c r="K49" s="9" t="n"/>
      <c r="L49" s="9" t="n"/>
    </row>
    <row r="50">
      <c r="A50" s="8" t="inlineStr">
        <is>
          <t>7.3</t>
        </is>
      </c>
      <c r="B50" s="8" t="inlineStr">
        <is>
          <t>Lô đèn &amp; QR</t>
        </is>
      </c>
      <c r="C50" s="8" t="inlineStr">
        <is>
          <t>Thiết kế thiệp cảm ơn có mã QR</t>
        </is>
      </c>
      <c r="D50" s="8" t="inlineStr">
        <is>
          <t>Kích thước, mặt trước/sau, mẫu viết tay hay in</t>
        </is>
      </c>
      <c r="E50" s="8" t="inlineStr">
        <is>
          <t>🟠 Trước khi mở bán</t>
        </is>
      </c>
      <c r="F50" s="8" t="inlineStr">
        <is>
          <t>§7</t>
        </is>
      </c>
      <c r="G50" s="9" t="inlineStr">
        <is>
          <t>Chưa bắt đầu</t>
        </is>
      </c>
      <c r="H50" s="9" t="n"/>
      <c r="I50" s="10" t="n"/>
      <c r="J50" s="10" t="n"/>
      <c r="K50" s="9" t="n"/>
      <c r="L50" s="9" t="n"/>
    </row>
    <row r="51">
      <c r="A51" s="8" t="inlineStr">
        <is>
          <t>7.4</t>
        </is>
      </c>
      <c r="B51" s="8" t="inlineStr">
        <is>
          <t>Lô đèn &amp; QR</t>
        </is>
      </c>
      <c r="C51" s="8" t="inlineStr">
        <is>
          <t>Xác nhận chính sách lưu trữ lời chúc (30 ngày giọng nói/video)</t>
        </is>
      </c>
      <c r="D51" s="8" t="inlineStr"/>
      <c r="E51" s="8" t="inlineStr">
        <is>
          <t>🟡 Làm sau được</t>
        </is>
      </c>
      <c r="F51" s="8" t="inlineStr">
        <is>
          <t>§7</t>
        </is>
      </c>
      <c r="G51" s="9" t="inlineStr">
        <is>
          <t>Chưa bắt đầu</t>
        </is>
      </c>
      <c r="H51" s="9" t="n"/>
      <c r="I51" s="10" t="n"/>
      <c r="J51" s="10" t="n"/>
      <c r="K51" s="9" t="n"/>
      <c r="L51" s="9" t="n"/>
    </row>
    <row r="52">
      <c r="A52" s="8" t="inlineStr">
        <is>
          <t>7.5</t>
        </is>
      </c>
      <c r="B52" s="8" t="inlineStr">
        <is>
          <t>Lô đèn &amp; QR</t>
        </is>
      </c>
      <c r="C52" s="8" t="inlineStr">
        <is>
          <t>Trả lời Q-12, Q-14, Q-25, Q-27, Q-29, Q-33</t>
        </is>
      </c>
      <c r="D52" s="8" t="inlineStr">
        <is>
          <t>Phí thiệp; admin xem lời chúc; QR đơn tự mua; xem trước; lời chúc không phải tiếng Việt; PIN</t>
        </is>
      </c>
      <c r="E52" s="8" t="inlineStr">
        <is>
          <t>🟠 Trước khi mở bán</t>
        </is>
      </c>
      <c r="F52" s="8" t="inlineStr">
        <is>
          <t>§7/§13</t>
        </is>
      </c>
      <c r="G52" s="9" t="inlineStr">
        <is>
          <t>Chưa bắt đầu</t>
        </is>
      </c>
      <c r="H52" s="9" t="n"/>
      <c r="I52" s="10" t="n"/>
      <c r="J52" s="10" t="n"/>
      <c r="K52" s="9" t="n"/>
      <c r="L52" s="9" t="n"/>
    </row>
    <row r="53">
      <c r="A53" s="8" t="inlineStr">
        <is>
          <t>7.6</t>
        </is>
      </c>
      <c r="B53" s="8" t="inlineStr">
        <is>
          <t>Lô đèn &amp; QR</t>
        </is>
      </c>
      <c r="C53" s="8" t="inlineStr">
        <is>
          <t>Quyết định trang kể chuyện theo từng mẫu đèn (QR trên thiệp)</t>
        </is>
      </c>
      <c r="D53" s="8" t="inlineStr">
        <is>
          <t>Content Plan 30/10: QR mở nội dung riêng của mẫu (artwork, chi tiết) rồi mới tới lời chúc. Web chưa có (G-108) — chốt phạm vi + nội dung</t>
        </is>
      </c>
      <c r="E53" s="8" t="inlineStr">
        <is>
          <t>🟠 Trước khi mở bán</t>
        </is>
      </c>
      <c r="F53" s="8" t="inlineStr">
        <is>
          <t>§7</t>
        </is>
      </c>
      <c r="G53" s="9" t="inlineStr">
        <is>
          <t>Chưa bắt đầu</t>
        </is>
      </c>
      <c r="H53" s="9" t="n"/>
      <c r="I53" s="10" t="n"/>
      <c r="J53" s="10" t="n"/>
      <c r="K53" s="9" t="n"/>
      <c r="L53" s="9" t="n"/>
    </row>
    <row r="54">
      <c r="A54" s="8" t="inlineStr">
        <is>
          <t>8.1</t>
        </is>
      </c>
      <c r="B54" s="8" t="inlineStr">
        <is>
          <t>Doanh nghiệp &amp; pháp lý</t>
        </is>
      </c>
      <c r="C54" s="8" t="inlineStr">
        <is>
          <t>Gửi tên pháp nhân + tên thương mại</t>
        </is>
      </c>
      <c r="D54" s="8" t="inlineStr"/>
      <c r="E54" s="8" t="inlineStr">
        <is>
          <t>🔴 Chặn go-live</t>
        </is>
      </c>
      <c r="F54" s="8" t="inlineStr">
        <is>
          <t>§8</t>
        </is>
      </c>
      <c r="G54" s="9" t="inlineStr">
        <is>
          <t>Chưa bắt đầu</t>
        </is>
      </c>
      <c r="H54" s="9" t="n"/>
      <c r="I54" s="10" t="n"/>
      <c r="J54" s="10" t="n"/>
      <c r="K54" s="9" t="n"/>
      <c r="L54" s="9" t="n"/>
    </row>
    <row r="55">
      <c r="A55" s="8" t="inlineStr">
        <is>
          <t>8.2</t>
        </is>
      </c>
      <c r="B55" s="8" t="inlineStr">
        <is>
          <t>Doanh nghiệp &amp; pháp lý</t>
        </is>
      </c>
      <c r="C55" s="8" t="inlineStr">
        <is>
          <t>Gửi MST / số ĐKKD, ngày cấp, nơi cấp</t>
        </is>
      </c>
      <c r="D55" s="8" t="inlineStr"/>
      <c r="E55" s="8" t="inlineStr">
        <is>
          <t>🔴 Chặn go-live</t>
        </is>
      </c>
      <c r="F55" s="8" t="inlineStr">
        <is>
          <t>§8</t>
        </is>
      </c>
      <c r="G55" s="9" t="inlineStr">
        <is>
          <t>Chưa bắt đầu</t>
        </is>
      </c>
      <c r="H55" s="9" t="n"/>
      <c r="I55" s="10" t="n"/>
      <c r="J55" s="10" t="n"/>
      <c r="K55" s="9" t="n"/>
      <c r="L55" s="9" t="n"/>
    </row>
    <row r="56">
      <c r="A56" s="8" t="inlineStr">
        <is>
          <t>8.3</t>
        </is>
      </c>
      <c r="B56" s="8" t="inlineStr">
        <is>
          <t>Doanh nghiệp &amp; pháp lý</t>
        </is>
      </c>
      <c r="C56" s="8" t="inlineStr">
        <is>
          <t>Gửi địa chỉ trụ sở + địa chỉ xưởng</t>
        </is>
      </c>
      <c r="D56" s="8" t="inlineStr"/>
      <c r="E56" s="8" t="inlineStr">
        <is>
          <t>🔴 Chặn go-live</t>
        </is>
      </c>
      <c r="F56" s="8" t="inlineStr">
        <is>
          <t>§8</t>
        </is>
      </c>
      <c r="G56" s="9" t="inlineStr">
        <is>
          <t>Chưa bắt đầu</t>
        </is>
      </c>
      <c r="H56" s="9" t="n"/>
      <c r="I56" s="10" t="n"/>
      <c r="J56" s="10" t="n"/>
      <c r="K56" s="9" t="n"/>
      <c r="L56" s="9" t="n"/>
    </row>
    <row r="57">
      <c r="A57" s="8" t="inlineStr">
        <is>
          <t>8.4</t>
        </is>
      </c>
      <c r="B57" s="8" t="inlineStr">
        <is>
          <t>Doanh nghiệp &amp; pháp lý</t>
        </is>
      </c>
      <c r="C57" s="8" t="inlineStr">
        <is>
          <t>Gửi hotline, Zalo, email hỗ trợ, giờ làm việc</t>
        </is>
      </c>
      <c r="D57" s="8" t="inlineStr"/>
      <c r="E57" s="8" t="inlineStr">
        <is>
          <t>🔴 Chặn go-live</t>
        </is>
      </c>
      <c r="F57" s="8" t="inlineStr">
        <is>
          <t>§8</t>
        </is>
      </c>
      <c r="G57" s="9" t="inlineStr">
        <is>
          <t>Chưa bắt đầu</t>
        </is>
      </c>
      <c r="H57" s="9" t="n"/>
      <c r="I57" s="10" t="n"/>
      <c r="J57" s="10" t="n"/>
      <c r="K57" s="9" t="n"/>
      <c r="L57" s="9" t="n"/>
    </row>
    <row r="58">
      <c r="A58" s="8" t="inlineStr">
        <is>
          <t>8.5</t>
        </is>
      </c>
      <c r="B58" s="8" t="inlineStr">
        <is>
          <t>Doanh nghiệp &amp; pháp lý</t>
        </is>
      </c>
      <c r="C58" s="8" t="inlineStr">
        <is>
          <t>Gửi link mạng xã hội</t>
        </is>
      </c>
      <c r="D58" s="8" t="inlineStr">
        <is>
          <t>Facebook, Instagram, TikTok, Zalo OA, YouTube (https)</t>
        </is>
      </c>
      <c r="E58" s="8" t="inlineStr">
        <is>
          <t>🟠 Trước khi mở bán</t>
        </is>
      </c>
      <c r="F58" s="8" t="inlineStr">
        <is>
          <t>§8</t>
        </is>
      </c>
      <c r="G58" s="9" t="inlineStr">
        <is>
          <t>Chưa bắt đầu</t>
        </is>
      </c>
      <c r="H58" s="9" t="n"/>
      <c r="I58" s="10" t="n"/>
      <c r="J58" s="10" t="n"/>
      <c r="K58" s="9" t="n"/>
      <c r="L58" s="9" t="n"/>
    </row>
    <row r="59">
      <c r="A59" s="8" t="inlineStr">
        <is>
          <t>8.6</t>
        </is>
      </c>
      <c r="B59" s="8" t="inlineStr">
        <is>
          <t>Doanh nghiệp &amp; pháp lý</t>
        </is>
      </c>
      <c r="C59" s="8" t="inlineStr">
        <is>
          <t>Thông báo website TMĐT với Bộ Công Thương + gửi link xác nhận</t>
        </is>
      </c>
      <c r="D59" s="8" t="inlineStr">
        <is>
          <t>online.gov.vn (Q-42)</t>
        </is>
      </c>
      <c r="E59" s="8" t="inlineStr">
        <is>
          <t>🔴 Chặn go-live</t>
        </is>
      </c>
      <c r="F59" s="8" t="inlineStr">
        <is>
          <t>§8</t>
        </is>
      </c>
      <c r="G59" s="9" t="inlineStr">
        <is>
          <t>Chưa bắt đầu</t>
        </is>
      </c>
      <c r="H59" s="9" t="n"/>
      <c r="I59" s="10" t="n"/>
      <c r="J59" s="10" t="n"/>
      <c r="K59" s="9" t="n"/>
      <c r="L59" s="9" t="n"/>
    </row>
    <row r="60">
      <c r="A60" s="8" t="inlineStr">
        <is>
          <t>8.7</t>
        </is>
      </c>
      <c r="B60" s="8" t="inlineStr">
        <is>
          <t>Doanh nghiệp &amp; pháp lý</t>
        </is>
      </c>
      <c r="C60" s="8" t="inlineStr">
        <is>
          <t>Chỉ định người đại diện / bên kiểm soát dữ liệu + email nhận yêu cầu dữ liệu</t>
        </is>
      </c>
      <c r="D60" s="8" t="inlineStr">
        <is>
          <t>Q-40</t>
        </is>
      </c>
      <c r="E60" s="8" t="inlineStr">
        <is>
          <t>🔴 Chặn go-live</t>
        </is>
      </c>
      <c r="F60" s="8" t="inlineStr">
        <is>
          <t>§8</t>
        </is>
      </c>
      <c r="G60" s="9" t="inlineStr">
        <is>
          <t>Chưa bắt đầu</t>
        </is>
      </c>
      <c r="H60" s="9" t="n"/>
      <c r="I60" s="10" t="n"/>
      <c r="J60" s="10" t="n"/>
      <c r="K60" s="9" t="n"/>
      <c r="L60" s="9" t="n"/>
    </row>
    <row r="61">
      <c r="A61" s="8" t="inlineStr">
        <is>
          <t>8.8</t>
        </is>
      </c>
      <c r="B61" s="8" t="inlineStr">
        <is>
          <t>Doanh nghiệp &amp; pháp lý</t>
        </is>
      </c>
      <c r="C61" s="8" t="inlineStr">
        <is>
          <t>Chốt tên miền chính thức + cấp quyền DNS</t>
        </is>
      </c>
      <c r="D61" s="8" t="inlineStr"/>
      <c r="E61" s="8" t="inlineStr">
        <is>
          <t>🔴 Chặn go-live</t>
        </is>
      </c>
      <c r="F61" s="8" t="inlineStr">
        <is>
          <t>§8</t>
        </is>
      </c>
      <c r="G61" s="9" t="inlineStr">
        <is>
          <t>Chưa bắt đầu</t>
        </is>
      </c>
      <c r="H61" s="9" t="n"/>
      <c r="I61" s="10" t="n"/>
      <c r="J61" s="10" t="n"/>
      <c r="K61" s="9" t="n"/>
      <c r="L61" s="9" t="n"/>
    </row>
    <row r="62">
      <c r="A62" s="8" t="inlineStr">
        <is>
          <t>8.9</t>
        </is>
      </c>
      <c r="B62" s="8" t="inlineStr">
        <is>
          <t>Doanh nghiệp &amp; pháp lý</t>
        </is>
      </c>
      <c r="C62" s="8" t="inlineStr">
        <is>
          <t>Pháp chế duyệt 5 trang chính sách + banner cookie/GA</t>
        </is>
      </c>
      <c r="D62" s="8" t="inlineStr">
        <is>
          <t>Q-40, Q-42, Q-43</t>
        </is>
      </c>
      <c r="E62" s="8" t="inlineStr">
        <is>
          <t>🔴 Chặn go-live</t>
        </is>
      </c>
      <c r="F62" s="8" t="inlineStr">
        <is>
          <t>§8</t>
        </is>
      </c>
      <c r="G62" s="9" t="inlineStr">
        <is>
          <t>Chưa bắt đầu</t>
        </is>
      </c>
      <c r="H62" s="9" t="n"/>
      <c r="I62" s="10" t="n"/>
      <c r="J62" s="10" t="n"/>
      <c r="K62" s="9" t="n"/>
      <c r="L62" s="9" t="n"/>
    </row>
    <row r="63">
      <c r="A63" s="8" t="inlineStr">
        <is>
          <t>8.10</t>
        </is>
      </c>
      <c r="B63" s="8" t="inlineStr">
        <is>
          <t>Doanh nghiệp &amp; pháp lý</t>
        </is>
      </c>
      <c r="C63" s="8" t="inlineStr">
        <is>
          <t>Giấy phép ảnh: tư liệu Đông Hồ (Q-36), ảnh nghệ nhân, ảnh sản phẩm</t>
        </is>
      </c>
      <c r="D63" s="8" t="inlineStr"/>
      <c r="E63" s="8" t="inlineStr">
        <is>
          <t>🔴 Chặn go-live</t>
        </is>
      </c>
      <c r="F63" s="8" t="inlineStr">
        <is>
          <t>§8</t>
        </is>
      </c>
      <c r="G63" s="9" t="inlineStr">
        <is>
          <t>Chưa bắt đầu</t>
        </is>
      </c>
      <c r="H63" s="9" t="n"/>
      <c r="I63" s="10" t="n"/>
      <c r="J63" s="10" t="n"/>
      <c r="K63" s="9" t="n"/>
      <c r="L63" s="9" t="n"/>
    </row>
    <row r="64">
      <c r="A64" s="8" t="inlineStr">
        <is>
          <t>8.11</t>
        </is>
      </c>
      <c r="B64" s="8" t="inlineStr">
        <is>
          <t>Doanh nghiệp &amp; pháp lý</t>
        </is>
      </c>
      <c r="C64" s="8" t="inlineStr">
        <is>
          <t>Gửi ảnh chân dung + văn bản đồng ý của Nghệ nhân Ưu tú Nguyễn Hữu Quả</t>
        </is>
      </c>
      <c r="D64" s="8" t="inlineStr">
        <is>
          <t>Web đã dùng tên thật theo Content Plan; ảnh vẫn là hình minh hoạ. Không đưa phần "Tài liệu tham khảo" trích nguồn ngoài lên web khi chưa xin phép</t>
        </is>
      </c>
      <c r="E64" s="8" t="inlineStr">
        <is>
          <t>🔴 Chặn go-live</t>
        </is>
      </c>
      <c r="F64" s="8" t="inlineStr">
        <is>
          <t>§4/§8</t>
        </is>
      </c>
      <c r="G64" s="9" t="inlineStr">
        <is>
          <t>Chưa bắt đầu</t>
        </is>
      </c>
      <c r="H64" s="9" t="n"/>
      <c r="I64" s="10" t="n"/>
      <c r="J64" s="10" t="n"/>
      <c r="K64" s="9" t="n"/>
      <c r="L64" s="9" t="n"/>
    </row>
    <row r="65">
      <c r="A65" s="8" t="inlineStr">
        <is>
          <t>9.1</t>
        </is>
      </c>
      <c r="B65" s="8" t="inlineStr">
        <is>
          <t>Vận hành bán hàng</t>
        </is>
      </c>
      <c r="C65" s="8" t="inlineStr">
        <is>
          <t>Chốt phí ship + ngưỡng freeship</t>
        </is>
      </c>
      <c r="D65" s="8" t="inlineStr">
        <is>
          <t>Hiện 30.000đ, miễn phí từ 1.000.000đ (giả định)</t>
        </is>
      </c>
      <c r="E65" s="8" t="inlineStr">
        <is>
          <t>🔴 Chặn go-live</t>
        </is>
      </c>
      <c r="F65" s="8" t="inlineStr">
        <is>
          <t>§9</t>
        </is>
      </c>
      <c r="G65" s="9" t="inlineStr">
        <is>
          <t>Chưa bắt đầu</t>
        </is>
      </c>
      <c r="H65" s="9" t="n"/>
      <c r="I65" s="10" t="n"/>
      <c r="J65" s="10" t="n"/>
      <c r="K65" s="9" t="n"/>
      <c r="L65" s="9" t="n"/>
    </row>
    <row r="66">
      <c r="A66" s="8" t="inlineStr">
        <is>
          <t>9.2</t>
        </is>
      </c>
      <c r="B66" s="8" t="inlineStr">
        <is>
          <t>Vận hành bán hàng</t>
        </is>
      </c>
      <c r="C66" s="8" t="inlineStr">
        <is>
          <t>Chốt đơn vị vận chuyển, thời gian giao theo vùng, vùng không giao</t>
        </is>
      </c>
      <c r="D66" s="8" t="inlineStr"/>
      <c r="E66" s="8" t="inlineStr">
        <is>
          <t>🔴 Chặn go-live</t>
        </is>
      </c>
      <c r="F66" s="8" t="inlineStr">
        <is>
          <t>§9</t>
        </is>
      </c>
      <c r="G66" s="9" t="inlineStr">
        <is>
          <t>Chưa bắt đầu</t>
        </is>
      </c>
      <c r="H66" s="9" t="n"/>
      <c r="I66" s="10" t="n"/>
      <c r="J66" s="10" t="n"/>
      <c r="K66" s="9" t="n"/>
      <c r="L66" s="9" t="n"/>
    </row>
    <row r="67">
      <c r="A67" s="8" t="inlineStr">
        <is>
          <t>9.3</t>
        </is>
      </c>
      <c r="B67" s="8" t="inlineStr">
        <is>
          <t>Vận hành bán hàng</t>
        </is>
      </c>
      <c r="C67" s="8" t="inlineStr">
        <is>
          <t>Xác nhận thời gian làm đèn (5–7 ngày làm việc?)</t>
        </is>
      </c>
      <c r="D67" s="8" t="inlineStr"/>
      <c r="E67" s="8" t="inlineStr">
        <is>
          <t>🔴 Chặn go-live</t>
        </is>
      </c>
      <c r="F67" s="8" t="inlineStr">
        <is>
          <t>§9</t>
        </is>
      </c>
      <c r="G67" s="9" t="inlineStr">
        <is>
          <t>Chưa bắt đầu</t>
        </is>
      </c>
      <c r="H67" s="9" t="n"/>
      <c r="I67" s="10" t="n"/>
      <c r="J67" s="10" t="n"/>
      <c r="K67" s="9" t="n"/>
      <c r="L67" s="9" t="n"/>
    </row>
    <row r="68">
      <c r="A68" s="8" t="inlineStr">
        <is>
          <t>9.4</t>
        </is>
      </c>
      <c r="B68" s="8" t="inlineStr">
        <is>
          <t>Vận hành bán hàng</t>
        </is>
      </c>
      <c r="C68" s="8" t="inlineStr">
        <is>
          <t>Xác nhận VAT 10% + cách xuất hoá đơn điện tử</t>
        </is>
      </c>
      <c r="D68" s="8" t="inlineStr">
        <is>
          <t>Hệ thống chưa có xuất hoá đơn</t>
        </is>
      </c>
      <c r="E68" s="8" t="inlineStr">
        <is>
          <t>🔴 Chặn go-live</t>
        </is>
      </c>
      <c r="F68" s="8" t="inlineStr">
        <is>
          <t>§9</t>
        </is>
      </c>
      <c r="G68" s="9" t="inlineStr">
        <is>
          <t>Chưa bắt đầu</t>
        </is>
      </c>
      <c r="H68" s="9" t="n"/>
      <c r="I68" s="10" t="n"/>
      <c r="J68" s="10" t="n"/>
      <c r="K68" s="9" t="n"/>
      <c r="L68" s="9" t="n"/>
    </row>
    <row r="69">
      <c r="A69" s="8" t="inlineStr">
        <is>
          <t>9.5</t>
        </is>
      </c>
      <c r="B69" s="8" t="inlineStr">
        <is>
          <t>Vận hành bán hàng</t>
        </is>
      </c>
      <c r="C69" s="8" t="inlineStr">
        <is>
          <t>Mở tài khoản payOS + quyết định COD (giới hạn giá trị? Q-37)</t>
        </is>
      </c>
      <c r="D69" s="8" t="inlineStr"/>
      <c r="E69" s="8" t="inlineStr">
        <is>
          <t>🔴 Chặn go-live</t>
        </is>
      </c>
      <c r="F69" s="8" t="inlineStr">
        <is>
          <t>§9</t>
        </is>
      </c>
      <c r="G69" s="9" t="inlineStr">
        <is>
          <t>Chưa bắt đầu</t>
        </is>
      </c>
      <c r="H69" s="9" t="n"/>
      <c r="I69" s="10" t="n"/>
      <c r="J69" s="10" t="n"/>
      <c r="K69" s="9" t="n"/>
      <c r="L69" s="9" t="n"/>
    </row>
    <row r="70">
      <c r="A70" s="8" t="inlineStr">
        <is>
          <t>9.6</t>
        </is>
      </c>
      <c r="B70" s="8" t="inlineStr">
        <is>
          <t>Vận hành bán hàng</t>
        </is>
      </c>
      <c r="C70" s="8" t="inlineStr">
        <is>
          <t>Chốt chính sách đổi trả còn mở</t>
        </is>
      </c>
      <c r="D70" s="8" t="inlineStr">
        <is>
          <t>Q-06 trả 1 đèn trong bộ; Q-20 mức hoàn khi huỷ đơn đã thanh toán; thời gian hoàn tiền; ai chịu phí ship đổi trả</t>
        </is>
      </c>
      <c r="E70" s="8" t="inlineStr">
        <is>
          <t>🟠 Trước khi mở bán</t>
        </is>
      </c>
      <c r="F70" s="8" t="inlineStr">
        <is>
          <t>§9</t>
        </is>
      </c>
      <c r="G70" s="9" t="inlineStr">
        <is>
          <t>Chưa bắt đầu</t>
        </is>
      </c>
      <c r="H70" s="9" t="n"/>
      <c r="I70" s="10" t="n"/>
      <c r="J70" s="10" t="n"/>
      <c r="K70" s="9" t="n"/>
      <c r="L70" s="9" t="n"/>
    </row>
    <row r="71">
      <c r="A71" s="8" t="inlineStr">
        <is>
          <t>9.7</t>
        </is>
      </c>
      <c r="B71" s="8" t="inlineStr">
        <is>
          <t>Vận hành bán hàng</t>
        </is>
      </c>
      <c r="C71" s="8" t="inlineStr">
        <is>
          <t>Lên danh sách coupon ra mắt</t>
        </is>
      </c>
      <c r="D71" s="8" t="inlineStr"/>
      <c r="E71" s="8" t="inlineStr">
        <is>
          <t>🟠 Trước khi mở bán</t>
        </is>
      </c>
      <c r="F71" s="8" t="inlineStr">
        <is>
          <t>§9</t>
        </is>
      </c>
      <c r="G71" s="9" t="inlineStr">
        <is>
          <t>Chưa bắt đầu</t>
        </is>
      </c>
      <c r="H71" s="9" t="n"/>
      <c r="I71" s="10" t="n"/>
      <c r="J71" s="10" t="n"/>
      <c r="K71" s="9" t="n"/>
      <c r="L71" s="9" t="n"/>
    </row>
    <row r="72">
      <c r="A72" s="8" t="inlineStr">
        <is>
          <t>9.8</t>
        </is>
      </c>
      <c r="B72" s="8" t="inlineStr">
        <is>
          <t>Vận hành bán hàng</t>
        </is>
      </c>
      <c r="C72" s="8" t="inlineStr">
        <is>
          <t>Chốt có bán quà doanh nghiệp / in logo không</t>
        </is>
      </c>
      <c r="D72" s="8" t="inlineStr"/>
      <c r="E72" s="8" t="inlineStr">
        <is>
          <t>🟡 Làm sau được</t>
        </is>
      </c>
      <c r="F72" s="8" t="inlineStr">
        <is>
          <t>§9</t>
        </is>
      </c>
      <c r="G72" s="9" t="inlineStr">
        <is>
          <t>Chưa bắt đầu</t>
        </is>
      </c>
      <c r="H72" s="9" t="n"/>
      <c r="I72" s="10" t="n"/>
      <c r="J72" s="10" t="n"/>
      <c r="K72" s="9" t="n"/>
      <c r="L72" s="9" t="n"/>
    </row>
    <row r="73">
      <c r="A73" s="8" t="inlineStr">
        <is>
          <t>9.9</t>
        </is>
      </c>
      <c r="B73" s="8" t="inlineStr">
        <is>
          <t>Vận hành bán hàng</t>
        </is>
      </c>
      <c r="C73" s="8" t="inlineStr">
        <is>
          <t>Mô tả quy trình xử lý đơn nội bộ (ai làm gì, khi nào đổi trạng thái)</t>
        </is>
      </c>
      <c r="D73" s="8" t="inlineStr"/>
      <c r="E73" s="8" t="inlineStr">
        <is>
          <t>🟠 Trước khi mở bán</t>
        </is>
      </c>
      <c r="F73" s="8" t="inlineStr">
        <is>
          <t>§9</t>
        </is>
      </c>
      <c r="G73" s="9" t="inlineStr">
        <is>
          <t>Chưa bắt đầu</t>
        </is>
      </c>
      <c r="H73" s="9" t="n"/>
      <c r="I73" s="10" t="n"/>
      <c r="J73" s="10" t="n"/>
      <c r="K73" s="9" t="n"/>
      <c r="L73" s="9" t="n"/>
    </row>
    <row r="74">
      <c r="A74" s="8" t="inlineStr">
        <is>
          <t>9.10</t>
        </is>
      </c>
      <c r="B74" s="8" t="inlineStr">
        <is>
          <t>Vận hành bán hàng</t>
        </is>
      </c>
      <c r="C74" s="8" t="inlineStr">
        <is>
          <t>Chốt chính sách bảo hành (nếu có)</t>
        </is>
      </c>
      <c r="D74" s="8" t="inlineStr"/>
      <c r="E74" s="8" t="inlineStr">
        <is>
          <t>🟡 Làm sau được</t>
        </is>
      </c>
      <c r="F74" s="8" t="inlineStr">
        <is>
          <t>§9</t>
        </is>
      </c>
      <c r="G74" s="9" t="inlineStr">
        <is>
          <t>Chưa bắt đầu</t>
        </is>
      </c>
      <c r="H74" s="9" t="n"/>
      <c r="I74" s="10" t="n"/>
      <c r="J74" s="10" t="n"/>
      <c r="K74" s="9" t="n"/>
      <c r="L74" s="9" t="n"/>
    </row>
    <row r="75">
      <c r="A75" s="8" t="inlineStr">
        <is>
          <t>10.1</t>
        </is>
      </c>
      <c r="B75" s="8" t="inlineStr">
        <is>
          <t>Email</t>
        </is>
      </c>
      <c r="C75" s="8" t="inlineStr">
        <is>
          <t>Duyệt nội dung email giao dịch</t>
        </is>
      </c>
      <c r="D75" s="8" t="inlineStr">
        <is>
          <t>Tab "Email"</t>
        </is>
      </c>
      <c r="E75" s="8" t="inlineStr">
        <is>
          <t>🟠 Trước khi mở bán</t>
        </is>
      </c>
      <c r="F75" s="8" t="inlineStr">
        <is>
          <t>§10</t>
        </is>
      </c>
      <c r="G75" s="9" t="inlineStr">
        <is>
          <t>Chưa bắt đầu</t>
        </is>
      </c>
      <c r="H75" s="9" t="n"/>
      <c r="I75" s="10" t="n"/>
      <c r="J75" s="10" t="n"/>
      <c r="K75" s="9" t="n"/>
      <c r="L75" s="9" t="n"/>
    </row>
    <row r="76">
      <c r="A76" s="8" t="inlineStr">
        <is>
          <t>10.2</t>
        </is>
      </c>
      <c r="B76" s="8" t="inlineStr">
        <is>
          <t>Email</t>
        </is>
      </c>
      <c r="C76" s="8" t="inlineStr">
        <is>
          <t>Chọn địa chỉ gửi + xác minh tên miền gửi (SPF/DKIM)</t>
        </is>
      </c>
      <c r="D76" s="8" t="inlineStr">
        <is>
          <t>Cần quyền DNS</t>
        </is>
      </c>
      <c r="E76" s="8" t="inlineStr">
        <is>
          <t>🔴 Chặn go-live</t>
        </is>
      </c>
      <c r="F76" s="8" t="inlineStr">
        <is>
          <t>§10</t>
        </is>
      </c>
      <c r="G76" s="9" t="inlineStr">
        <is>
          <t>Chưa bắt đầu</t>
        </is>
      </c>
      <c r="H76" s="9" t="n"/>
      <c r="I76" s="10" t="n"/>
      <c r="J76" s="10" t="n"/>
      <c r="K76" s="9" t="n"/>
      <c r="L76" s="9" t="n"/>
    </row>
    <row r="77">
      <c r="A77" s="8" t="inlineStr">
        <is>
          <t>10.3</t>
        </is>
      </c>
      <c r="B77" s="8" t="inlineStr">
        <is>
          <t>Email</t>
        </is>
      </c>
      <c r="C77" s="8" t="inlineStr">
        <is>
          <t>Chốt có SMS/Zalo thông báo đơn không (Q-24)</t>
        </is>
      </c>
      <c r="D77" s="8" t="inlineStr"/>
      <c r="E77" s="8" t="inlineStr">
        <is>
          <t>🟡 Làm sau được</t>
        </is>
      </c>
      <c r="F77" s="8" t="inlineStr">
        <is>
          <t>§10</t>
        </is>
      </c>
      <c r="G77" s="9" t="inlineStr">
        <is>
          <t>Chưa bắt đầu</t>
        </is>
      </c>
      <c r="H77" s="9" t="n"/>
      <c r="I77" s="10" t="n"/>
      <c r="J77" s="10" t="n"/>
      <c r="K77" s="9" t="n"/>
      <c r="L77" s="9" t="n"/>
    </row>
    <row r="78">
      <c r="A78" s="8" t="inlineStr">
        <is>
          <t>11.1</t>
        </is>
      </c>
      <c r="B78" s="8" t="inlineStr">
        <is>
          <t>Tài khoản dịch vụ</t>
        </is>
      </c>
      <c r="C78" s="8" t="inlineStr">
        <is>
          <t>Tên miền + DNS</t>
        </is>
      </c>
      <c r="D78" s="8" t="inlineStr"/>
      <c r="E78" s="8" t="inlineStr">
        <is>
          <t>🔴 Chặn go-live</t>
        </is>
      </c>
      <c r="F78" s="8" t="inlineStr">
        <is>
          <t>§11</t>
        </is>
      </c>
      <c r="G78" s="9" t="inlineStr">
        <is>
          <t>Chưa bắt đầu</t>
        </is>
      </c>
      <c r="H78" s="9" t="n"/>
      <c r="I78" s="10" t="n"/>
      <c r="J78" s="10" t="n"/>
      <c r="K78" s="9" t="n"/>
      <c r="L78" s="9" t="n"/>
    </row>
    <row r="79">
      <c r="A79" s="8" t="inlineStr">
        <is>
          <t>11.2</t>
        </is>
      </c>
      <c r="B79" s="8" t="inlineStr">
        <is>
          <t>Tài khoản dịch vụ</t>
        </is>
      </c>
      <c r="C79" s="8" t="inlineStr">
        <is>
          <t>Tạo / cấp quyền Vercel</t>
        </is>
      </c>
      <c r="D79" s="8" t="inlineStr"/>
      <c r="E79" s="8" t="inlineStr">
        <is>
          <t>🔴 Chặn go-live</t>
        </is>
      </c>
      <c r="F79" s="8" t="inlineStr">
        <is>
          <t>§11</t>
        </is>
      </c>
      <c r="G79" s="9" t="inlineStr">
        <is>
          <t>Chưa bắt đầu</t>
        </is>
      </c>
      <c r="H79" s="9" t="n"/>
      <c r="I79" s="10" t="n"/>
      <c r="J79" s="10" t="n"/>
      <c r="K79" s="9" t="n"/>
      <c r="L79" s="9" t="n"/>
    </row>
    <row r="80">
      <c r="A80" s="8" t="inlineStr">
        <is>
          <t>11.3</t>
        </is>
      </c>
      <c r="B80" s="8" t="inlineStr">
        <is>
          <t>Tài khoản dịch vụ</t>
        </is>
      </c>
      <c r="C80" s="8" t="inlineStr">
        <is>
          <t>Tạo project Supabase production (gói phù hợp, có sao lưu)</t>
        </is>
      </c>
      <c r="D80" s="8" t="inlineStr"/>
      <c r="E80" s="8" t="inlineStr">
        <is>
          <t>🔴 Chặn go-live</t>
        </is>
      </c>
      <c r="F80" s="8" t="inlineStr">
        <is>
          <t>§11</t>
        </is>
      </c>
      <c r="G80" s="9" t="inlineStr">
        <is>
          <t>Chưa bắt đầu</t>
        </is>
      </c>
      <c r="H80" s="9" t="n"/>
      <c r="I80" s="10" t="n"/>
      <c r="J80" s="10" t="n"/>
      <c r="K80" s="9" t="n"/>
      <c r="L80" s="9" t="n"/>
    </row>
    <row r="81">
      <c r="A81" s="8" t="inlineStr">
        <is>
          <t>11.4</t>
        </is>
      </c>
      <c r="B81" s="8" t="inlineStr">
        <is>
          <t>Tài khoản dịch vụ</t>
        </is>
      </c>
      <c r="C81" s="8" t="inlineStr">
        <is>
          <t>Đăng ký payOS, lấy Client ID / API Key / Checksum Key</t>
        </is>
      </c>
      <c r="D81" s="8" t="inlineStr">
        <is>
          <t>Chia sẻ khoá qua kênh an toàn</t>
        </is>
      </c>
      <c r="E81" s="8" t="inlineStr">
        <is>
          <t>🔴 Chặn go-live</t>
        </is>
      </c>
      <c r="F81" s="8" t="inlineStr">
        <is>
          <t>§11</t>
        </is>
      </c>
      <c r="G81" s="9" t="inlineStr">
        <is>
          <t>Chưa bắt đầu</t>
        </is>
      </c>
      <c r="H81" s="9" t="n"/>
      <c r="I81" s="10" t="n"/>
      <c r="J81" s="10" t="n"/>
      <c r="K81" s="9" t="n"/>
      <c r="L81" s="9" t="n"/>
    </row>
    <row r="82">
      <c r="A82" s="8" t="inlineStr">
        <is>
          <t>11.5</t>
        </is>
      </c>
      <c r="B82" s="8" t="inlineStr">
        <is>
          <t>Tài khoản dịch vụ</t>
        </is>
      </c>
      <c r="C82" s="8" t="inlineStr">
        <is>
          <t>Tài khoản Resend hoặc Brevo</t>
        </is>
      </c>
      <c r="D82" s="8" t="inlineStr"/>
      <c r="E82" s="8" t="inlineStr">
        <is>
          <t>🔴 Chặn go-live</t>
        </is>
      </c>
      <c r="F82" s="8" t="inlineStr">
        <is>
          <t>§11</t>
        </is>
      </c>
      <c r="G82" s="9" t="inlineStr">
        <is>
          <t>Chưa bắt đầu</t>
        </is>
      </c>
      <c r="H82" s="9" t="n"/>
      <c r="I82" s="10" t="n"/>
      <c r="J82" s="10" t="n"/>
      <c r="K82" s="9" t="n"/>
      <c r="L82" s="9" t="n"/>
    </row>
    <row r="83">
      <c r="A83" s="8" t="inlineStr">
        <is>
          <t>11.6</t>
        </is>
      </c>
      <c r="B83" s="8" t="inlineStr">
        <is>
          <t>Tài khoản dịch vụ</t>
        </is>
      </c>
      <c r="C83" s="8" t="inlineStr">
        <is>
          <t>Google Analytics 4: Measurement ID + quyền Viewer</t>
        </is>
      </c>
      <c r="D83" s="8" t="inlineStr"/>
      <c r="E83" s="8" t="inlineStr">
        <is>
          <t>🟠 Trước khi mở bán</t>
        </is>
      </c>
      <c r="F83" s="8" t="inlineStr">
        <is>
          <t>§11</t>
        </is>
      </c>
      <c r="G83" s="9" t="inlineStr">
        <is>
          <t>Chưa bắt đầu</t>
        </is>
      </c>
      <c r="H83" s="9" t="n"/>
      <c r="I83" s="10" t="n"/>
      <c r="J83" s="10" t="n"/>
      <c r="K83" s="9" t="n"/>
      <c r="L83" s="9" t="n"/>
    </row>
    <row r="84">
      <c r="A84" s="8" t="inlineStr">
        <is>
          <t>11.7</t>
        </is>
      </c>
      <c r="B84" s="8" t="inlineStr">
        <is>
          <t>Tài khoản dịch vụ</t>
        </is>
      </c>
      <c r="C84" s="8" t="inlineStr">
        <is>
          <t>Google Cloud OAuth (đăng nhập bằng Google)</t>
        </is>
      </c>
      <c r="D84" s="8" t="inlineStr">
        <is>
          <t>Cần logo + chính sách riêng tư + miền thật</t>
        </is>
      </c>
      <c r="E84" s="8" t="inlineStr">
        <is>
          <t>🟠 Trước khi mở bán</t>
        </is>
      </c>
      <c r="F84" s="8" t="inlineStr">
        <is>
          <t>§11</t>
        </is>
      </c>
      <c r="G84" s="9" t="inlineStr">
        <is>
          <t>Chưa bắt đầu</t>
        </is>
      </c>
      <c r="H84" s="9" t="n"/>
      <c r="I84" s="10" t="n"/>
      <c r="J84" s="10" t="n"/>
      <c r="K84" s="9" t="n"/>
      <c r="L84" s="9" t="n"/>
    </row>
    <row r="85">
      <c r="A85" s="8" t="inlineStr">
        <is>
          <t>11.8</t>
        </is>
      </c>
      <c r="B85" s="8" t="inlineStr">
        <is>
          <t>Tài khoản dịch vụ</t>
        </is>
      </c>
      <c r="C85" s="8" t="inlineStr">
        <is>
          <t>OpenAI API key + hạn mức chi tiêu</t>
        </is>
      </c>
      <c r="D85" s="8" t="inlineStr"/>
      <c r="E85" s="8" t="inlineStr">
        <is>
          <t>🟠 Trước khi mở bán</t>
        </is>
      </c>
      <c r="F85" s="8" t="inlineStr">
        <is>
          <t>§11</t>
        </is>
      </c>
      <c r="G85" s="9" t="inlineStr">
        <is>
          <t>Chưa bắt đầu</t>
        </is>
      </c>
      <c r="H85" s="9" t="n"/>
      <c r="I85" s="10" t="n"/>
      <c r="J85" s="10" t="n"/>
      <c r="K85" s="9" t="n"/>
      <c r="L85" s="9" t="n"/>
    </row>
    <row r="86">
      <c r="A86" s="8" t="inlineStr">
        <is>
          <t>11.9</t>
        </is>
      </c>
      <c r="B86" s="8" t="inlineStr">
        <is>
          <t>Tài khoản dịch vụ</t>
        </is>
      </c>
      <c r="C86" s="8" t="inlineStr">
        <is>
          <t>Google Search Console (xác minh tên miền)</t>
        </is>
      </c>
      <c r="D86" s="8" t="inlineStr"/>
      <c r="E86" s="8" t="inlineStr">
        <is>
          <t>🟡 Làm sau được</t>
        </is>
      </c>
      <c r="F86" s="8" t="inlineStr">
        <is>
          <t>§11</t>
        </is>
      </c>
      <c r="G86" s="9" t="inlineStr">
        <is>
          <t>Chưa bắt đầu</t>
        </is>
      </c>
      <c r="H86" s="9" t="n"/>
      <c r="I86" s="10" t="n"/>
      <c r="J86" s="10" t="n"/>
      <c r="K86" s="9" t="n"/>
      <c r="L86" s="9" t="n"/>
    </row>
    <row r="87">
      <c r="A87" s="8" t="inlineStr">
        <is>
          <t>11.10</t>
        </is>
      </c>
      <c r="B87" s="8" t="inlineStr">
        <is>
          <t>Tài khoản dịch vụ</t>
        </is>
      </c>
      <c r="C87" s="8" t="inlineStr">
        <is>
          <t>Quyết định gắn pixel quảng cáo (Facebook/TikTok)</t>
        </is>
      </c>
      <c r="D87" s="8" t="inlineStr">
        <is>
          <t>Cần cập nhật banner cookie</t>
        </is>
      </c>
      <c r="E87" s="8" t="inlineStr">
        <is>
          <t>🟡 Làm sau được</t>
        </is>
      </c>
      <c r="F87" s="8" t="inlineStr">
        <is>
          <t>§11</t>
        </is>
      </c>
      <c r="G87" s="9" t="inlineStr">
        <is>
          <t>Chưa bắt đầu</t>
        </is>
      </c>
      <c r="H87" s="9" t="n"/>
      <c r="I87" s="10" t="n"/>
      <c r="J87" s="10" t="n"/>
      <c r="K87" s="9" t="n"/>
      <c r="L87" s="9" t="n"/>
    </row>
    <row r="88">
      <c r="A88" s="8" t="inlineStr">
        <is>
          <t>12.1</t>
        </is>
      </c>
      <c r="B88" s="8" t="inlineStr">
        <is>
          <t>Dịch thuật</t>
        </is>
      </c>
      <c r="C88" s="8" t="inlineStr">
        <is>
          <t>Chốt có bán cho khách EN / ZH không</t>
        </is>
      </c>
      <c r="D88" s="8" t="inlineStr">
        <is>
          <t>Nếu không thì có thể ẩn để giảm công duy trì</t>
        </is>
      </c>
      <c r="E88" s="8" t="inlineStr">
        <is>
          <t>🟠 Trước khi mở bán</t>
        </is>
      </c>
      <c r="F88" s="8" t="inlineStr">
        <is>
          <t>§12</t>
        </is>
      </c>
      <c r="G88" s="9" t="inlineStr">
        <is>
          <t>Chưa bắt đầu</t>
        </is>
      </c>
      <c r="H88" s="9" t="n"/>
      <c r="I88" s="10" t="n"/>
      <c r="J88" s="10" t="n"/>
      <c r="K88" s="9" t="n"/>
      <c r="L88" s="9" t="n"/>
    </row>
    <row r="89">
      <c r="A89" s="8" t="inlineStr">
        <is>
          <t>12.2</t>
        </is>
      </c>
      <c r="B89" s="8" t="inlineStr">
        <is>
          <t>Dịch thuật</t>
        </is>
      </c>
      <c r="C89" s="8" t="inlineStr">
        <is>
          <t>Thuê người bản ngữ duyệt bản EN / ZH</t>
        </is>
      </c>
      <c r="D89" s="8" t="inlineStr">
        <is>
          <t>Tên sản phẩm, câu chuyện, chính sách, email</t>
        </is>
      </c>
      <c r="E89" s="8" t="inlineStr">
        <is>
          <t>🟡 Làm sau được</t>
        </is>
      </c>
      <c r="F89" s="8" t="inlineStr">
        <is>
          <t>§12</t>
        </is>
      </c>
      <c r="G89" s="9" t="inlineStr">
        <is>
          <t>Chưa bắt đầu</t>
        </is>
      </c>
      <c r="H89" s="9" t="n"/>
      <c r="I89" s="10" t="n"/>
      <c r="J89" s="10" t="n"/>
      <c r="K89" s="9" t="n"/>
      <c r="L89" s="9" t="n"/>
    </row>
    <row r="90">
      <c r="A90" s="8" t="inlineStr">
        <is>
          <t>12.3</t>
        </is>
      </c>
      <c r="B90" s="8" t="inlineStr">
        <is>
          <t>Dịch thuật</t>
        </is>
      </c>
      <c r="C90" s="8" t="inlineStr">
        <is>
          <t>Chốt quy ước tên riêng khi dịch (giấy dó, Đông Hồ, Mây)</t>
        </is>
      </c>
      <c r="D90" s="8" t="inlineStr"/>
      <c r="E90" s="8" t="inlineStr">
        <is>
          <t>🟡 Làm sau được</t>
        </is>
      </c>
      <c r="F90" s="8" t="inlineStr">
        <is>
          <t>§12</t>
        </is>
      </c>
      <c r="G90" s="9" t="inlineStr">
        <is>
          <t>Chưa bắt đầu</t>
        </is>
      </c>
      <c r="H90" s="9" t="n"/>
      <c r="I90" s="10" t="n"/>
      <c r="J90" s="10" t="n"/>
      <c r="K90" s="9" t="n"/>
      <c r="L90" s="9" t="n"/>
    </row>
    <row r="91">
      <c r="A91" s="8" t="inlineStr">
        <is>
          <t>13.1</t>
        </is>
      </c>
      <c r="B91" s="8" t="inlineStr">
        <is>
          <t>Quyết định nghiệp vụ</t>
        </is>
      </c>
      <c r="C91" s="8" t="inlineStr">
        <is>
          <t>Q-41: cho phép mua không cần tài khoản (guest checkout)?</t>
        </is>
      </c>
      <c r="D91" s="8" t="inlineStr">
        <is>
          <t>Thay đổi lớn — cần quyết rõ</t>
        </is>
      </c>
      <c r="E91" s="8" t="inlineStr">
        <is>
          <t>🔴 Chặn go-live</t>
        </is>
      </c>
      <c r="F91" s="8" t="inlineStr">
        <is>
          <t>§13</t>
        </is>
      </c>
      <c r="G91" s="9" t="inlineStr">
        <is>
          <t>Chưa bắt đầu</t>
        </is>
      </c>
      <c r="H91" s="9" t="n"/>
      <c r="I91" s="10" t="n"/>
      <c r="J91" s="10" t="n"/>
      <c r="K91" s="9" t="n"/>
      <c r="L91" s="9" t="n"/>
    </row>
    <row r="92">
      <c r="A92" s="8" t="inlineStr">
        <is>
          <t>13.2</t>
        </is>
      </c>
      <c r="B92" s="8" t="inlineStr">
        <is>
          <t>Quyết định nghiệp vụ</t>
        </is>
      </c>
      <c r="C92" s="8" t="inlineStr">
        <is>
          <t>Q-35: đăng ký email đã tồn tại báo "đã đăng ký" hay "kiểm tra email"?</t>
        </is>
      </c>
      <c r="D92" s="8" t="inlineStr"/>
      <c r="E92" s="8" t="inlineStr">
        <is>
          <t>🟠 Trước khi mở bán</t>
        </is>
      </c>
      <c r="F92" s="8" t="inlineStr">
        <is>
          <t>§13</t>
        </is>
      </c>
      <c r="G92" s="9" t="inlineStr">
        <is>
          <t>Chưa bắt đầu</t>
        </is>
      </c>
      <c r="H92" s="9" t="n"/>
      <c r="I92" s="10" t="n"/>
      <c r="J92" s="10" t="n"/>
      <c r="K92" s="9" t="n"/>
      <c r="L92" s="9" t="n"/>
    </row>
    <row r="93">
      <c r="A93" s="8" t="inlineStr">
        <is>
          <t>13.3</t>
        </is>
      </c>
      <c r="B93" s="8" t="inlineStr">
        <is>
          <t>Quyết định nghiệp vụ</t>
        </is>
      </c>
      <c r="C93" s="8" t="inlineStr">
        <is>
          <t>Q-21, Q-23, Q-38 và KPI mong muốn</t>
        </is>
      </c>
      <c r="D93" s="8" t="inlineStr">
        <is>
          <t>Phiếu giao không in giá; testimonial; ngưỡng chống spam; KPI</t>
        </is>
      </c>
      <c r="E93" s="8" t="inlineStr">
        <is>
          <t>🟡 Làm sau được</t>
        </is>
      </c>
      <c r="F93" s="8" t="inlineStr">
        <is>
          <t>§13</t>
        </is>
      </c>
      <c r="G93" s="9" t="inlineStr">
        <is>
          <t>Chưa bắt đầu</t>
        </is>
      </c>
      <c r="H93" s="9" t="n"/>
      <c r="I93" s="10" t="n"/>
      <c r="J93" s="10" t="n"/>
      <c r="K93" s="9" t="n"/>
      <c r="L93" s="9" t="n"/>
    </row>
    <row r="94">
      <c r="A94" s="8" t="inlineStr">
        <is>
          <t>14.1</t>
        </is>
      </c>
      <c r="B94" s="8" t="inlineStr">
        <is>
          <t>Admin &amp; vận hành</t>
        </is>
      </c>
      <c r="C94" s="8" t="inlineStr">
        <is>
          <t>Gửi danh sách người dùng admin (email, vai trò admin/IT)</t>
        </is>
      </c>
      <c r="D94" s="8" t="inlineStr"/>
      <c r="E94" s="8" t="inlineStr">
        <is>
          <t>🔴 Chặn go-live</t>
        </is>
      </c>
      <c r="F94" s="8" t="inlineStr">
        <is>
          <t>§14</t>
        </is>
      </c>
      <c r="G94" s="9" t="inlineStr">
        <is>
          <t>Chưa bắt đầu</t>
        </is>
      </c>
      <c r="H94" s="9" t="n"/>
      <c r="I94" s="10" t="n"/>
      <c r="J94" s="10" t="n"/>
      <c r="K94" s="9" t="n"/>
      <c r="L94" s="9" t="n"/>
    </row>
    <row r="95">
      <c r="A95" s="8" t="inlineStr">
        <is>
          <t>14.2</t>
        </is>
      </c>
      <c r="B95" s="8" t="inlineStr">
        <is>
          <t>Admin &amp; vận hành</t>
        </is>
      </c>
      <c r="C95" s="8" t="inlineStr">
        <is>
          <t>Phân công: nội dung, xử lý đơn, đổi trả/hoàn tiền, hỗ trợ khách</t>
        </is>
      </c>
      <c r="D95" s="8" t="inlineStr"/>
      <c r="E95" s="8" t="inlineStr">
        <is>
          <t>🔴 Chặn go-live</t>
        </is>
      </c>
      <c r="F95" s="8" t="inlineStr">
        <is>
          <t>§14</t>
        </is>
      </c>
      <c r="G95" s="9" t="inlineStr">
        <is>
          <t>Chưa bắt đầu</t>
        </is>
      </c>
      <c r="H95" s="9" t="n"/>
      <c r="I95" s="10" t="n"/>
      <c r="J95" s="10" t="n"/>
      <c r="K95" s="9" t="n"/>
      <c r="L95" s="9" t="n"/>
    </row>
    <row r="96">
      <c r="A96" s="8" t="inlineStr">
        <is>
          <t>14.3</t>
        </is>
      </c>
      <c r="B96" s="8" t="inlineStr">
        <is>
          <t>Admin &amp; vận hành</t>
        </is>
      </c>
      <c r="C96" s="8" t="inlineStr">
        <is>
          <t>Tham dự buổi đào tạo /admin</t>
        </is>
      </c>
      <c r="D96" s="8" t="inlineStr"/>
      <c r="E96" s="8" t="inlineStr">
        <is>
          <t>🟠 Trước khi mở bán</t>
        </is>
      </c>
      <c r="F96" s="8" t="inlineStr">
        <is>
          <t>§14</t>
        </is>
      </c>
      <c r="G96" s="9" t="inlineStr">
        <is>
          <t>Chưa bắt đầu</t>
        </is>
      </c>
      <c r="H96" s="9" t="n"/>
      <c r="I96" s="10" t="n"/>
      <c r="J96" s="10" t="n"/>
      <c r="K96" s="9" t="n"/>
      <c r="L96" s="9" t="n"/>
    </row>
    <row r="97">
      <c r="A97" s="8" t="inlineStr">
        <is>
          <t>14.4</t>
        </is>
      </c>
      <c r="B97" s="8" t="inlineStr">
        <is>
          <t>Admin &amp; vận hành</t>
        </is>
      </c>
      <c r="C97" s="8" t="inlineStr">
        <is>
          <t>UAT: thử đặt đơn thật đầu-cuối + ký biên bản nghiệm thu</t>
        </is>
      </c>
      <c r="D97" s="8" t="inlineStr">
        <is>
          <t>COD + payOS, mua tặng với lời chúc chữ/giọng nói/video, huỷ đơn, đổi trả</t>
        </is>
      </c>
      <c r="E97" s="8" t="inlineStr">
        <is>
          <t>🔴 Chặn go-live</t>
        </is>
      </c>
      <c r="F97" s="8" t="inlineStr">
        <is>
          <t>§14</t>
        </is>
      </c>
      <c r="G97" s="9" t="inlineStr">
        <is>
          <t>Chưa bắt đầu</t>
        </is>
      </c>
      <c r="H97" s="9" t="n"/>
      <c r="I97" s="10" t="n"/>
      <c r="J97" s="10" t="n"/>
      <c r="K97" s="9" t="n"/>
      <c r="L97" s="9" t="n"/>
    </row>
    <row r="98">
      <c r="A98" s="8" t="inlineStr">
        <is>
          <t>14.5</t>
        </is>
      </c>
      <c r="B98" s="8" t="inlineStr">
        <is>
          <t>Admin &amp; vận hành</t>
        </is>
      </c>
      <c r="C98" s="8" t="inlineStr">
        <is>
          <t>Chốt ngày go-live + người quyết định "đạt"</t>
        </is>
      </c>
      <c r="D98" s="8" t="inlineStr"/>
      <c r="E98" s="8" t="inlineStr">
        <is>
          <t>🟠 Trước khi mở bán</t>
        </is>
      </c>
      <c r="F98" s="8" t="inlineStr">
        <is>
          <t>§14</t>
        </is>
      </c>
      <c r="G98" s="9" t="inlineStr">
        <is>
          <t>Chưa bắt đầu</t>
        </is>
      </c>
      <c r="H98" s="9" t="n"/>
      <c r="I98" s="10" t="n"/>
      <c r="J98" s="10" t="n"/>
      <c r="K98" s="9" t="n"/>
      <c r="L98" s="9" t="n"/>
    </row>
  </sheetData>
  <autoFilter ref="A1:L98"/>
  <conditionalFormatting sqref="G2:G98">
    <cfRule type="cellIs" priority="1" operator="equal" dxfId="0">
      <formula>"Xong"</formula>
    </cfRule>
    <cfRule type="cellIs" priority="2" operator="equal" dxfId="1">
      <formula>"Đang làm"</formula>
    </cfRule>
    <cfRule type="cellIs" priority="3" operator="equal" dxfId="2">
      <formula>"Chờ duyệt"</formula>
    </cfRule>
    <cfRule type="cellIs" priority="4" operator="equal" dxfId="3">
      <formula>"Bị chặn"</formula>
    </cfRule>
  </conditionalFormatting>
  <conditionalFormatting sqref="I2:I98">
    <cfRule type="expression" priority="5" dxfId="4">
      <formula>AND($I2&lt;&gt;"",$I2&lt;TODAY(),$G2&lt;&gt;"Xong")</formula>
    </cfRule>
  </conditionalFormatting>
  <dataValidations count="2">
    <dataValidation sqref="G2:G98" showDropDown="0" showInputMessage="0" showErrorMessage="0" allowBlank="0" type="list">
      <formula1>"Chưa bắt đầu,Đang làm,Chờ duyệt,Bị chặn,Xong"</formula1>
    </dataValidation>
    <dataValidation sqref="I2:J98" showDropDown="0" showInputMessage="0" showErrorMessage="1" allowBlank="1" error="Nhập ngày dạng dd/mm/yyyy" type="date" operator="greaterThan">
      <formula1>36526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2026-10-13T05:24:53Z</dcterms:created>
  <dcterms:modified xmlns:dcterms="http://purl.org/dc/terms/" xmlns:xsi="http://www.w3.org/2001/XMLSchema-instance" xsi:type="dcterms:W3CDTF">2026-10-13T05:24:53Z</dcterms:modified>
</cp:coreProperties>
</file>